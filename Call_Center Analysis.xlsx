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https://d.docs.live.net/e7a722acbcba68af/Desktop/DATA ANALYST/PROJECTS/"/>
    </mc:Choice>
  </mc:AlternateContent>
  <xr:revisionPtr revIDLastSave="1059" documentId="8_{A20ED4A5-14BB-4924-A09F-8AC42BE01283}" xr6:coauthVersionLast="47" xr6:coauthVersionMax="47" xr10:uidLastSave="{82D187A6-69F1-4291-BB13-E8F72A6F15DF}"/>
  <bookViews>
    <workbookView xWindow="-108" yWindow="-108" windowWidth="23256" windowHeight="12456" xr2:uid="{26D4546B-D2A1-4444-8EAF-A6228F96F0C1}"/>
  </bookViews>
  <sheets>
    <sheet name="Data" sheetId="2" r:id="rId1"/>
    <sheet name="Pivots" sheetId="7" r:id="rId2"/>
    <sheet name="Assets" sheetId="4" r:id="rId3"/>
    <sheet name="Call Center Report " sheetId="5" r:id="rId4"/>
  </sheets>
  <definedNames>
    <definedName name="_xlnm._FilterDatabase" localSheetId="0" hidden="1">Data!$B$3:$H$1003</definedName>
    <definedName name="_xlcn.WorksheetConnection_Call_CenterPortfolioProject.xlsxcalls1" hidden="1">calls[]</definedName>
    <definedName name="_xlcn.WorksheetConnection_Call_Center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Call_Center Portfolio Project.xlsx!customers"/>
          <x15:modelTable id="calls" name="calls" connection="WorksheetConnection_Call_Center Portfolio 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1" i="5" l="1" a="1"/>
  <c r="Q21" i="5" s="1"/>
  <c r="P22" i="5" a="1"/>
  <c r="P22" i="5" s="1"/>
  <c r="J28" i="7"/>
  <c r="H33" i="7" s="1"/>
  <c r="E31" i="7" a="1"/>
  <c r="E31" i="7"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s="1"/>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c r="K77" i="2" a="1"/>
  <c r="K77" i="2"/>
  <c r="K78" i="2" a="1"/>
  <c r="K78" i="2" s="1"/>
  <c r="K79" i="2" a="1"/>
  <c r="K79" i="2" s="1"/>
  <c r="K80" i="2" a="1"/>
  <c r="K80" i="2" s="1"/>
  <c r="K81" i="2" a="1"/>
  <c r="K81" i="2" s="1"/>
  <c r="K82" i="2" a="1"/>
  <c r="K82" i="2" s="1"/>
  <c r="K83" i="2" a="1"/>
  <c r="K83" i="2" s="1"/>
  <c r="K84" i="2" a="1"/>
  <c r="K84" i="2" s="1"/>
  <c r="K85" i="2" a="1"/>
  <c r="K85" i="2"/>
  <c r="K86" i="2" a="1"/>
  <c r="K86" i="2" s="1"/>
  <c r="K87" i="2" a="1"/>
  <c r="K87" i="2" s="1"/>
  <c r="K88" i="2" a="1"/>
  <c r="K88" i="2" s="1"/>
  <c r="K89" i="2" a="1"/>
  <c r="K89" i="2" s="1"/>
  <c r="K90" i="2" a="1"/>
  <c r="K90" i="2" s="1"/>
  <c r="K91" i="2" a="1"/>
  <c r="K91" i="2" s="1"/>
  <c r="K92" i="2" a="1"/>
  <c r="K92" i="2" s="1"/>
  <c r="K93" i="2" a="1"/>
  <c r="K93" i="2" s="1"/>
  <c r="K94" i="2" a="1"/>
  <c r="K94" i="2"/>
  <c r="K95" i="2" a="1"/>
  <c r="K95" i="2" s="1"/>
  <c r="K96" i="2" a="1"/>
  <c r="K96" i="2" s="1"/>
  <c r="K97" i="2" a="1"/>
  <c r="K97" i="2" s="1"/>
  <c r="K98" i="2" a="1"/>
  <c r="K98" i="2" s="1"/>
  <c r="K99" i="2" a="1"/>
  <c r="K99" i="2" s="1"/>
  <c r="K100" i="2" a="1"/>
  <c r="K100" i="2" s="1"/>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c r="K125" i="2" a="1"/>
  <c r="K125" i="2" s="1"/>
  <c r="K126" i="2" a="1"/>
  <c r="K126" i="2" s="1"/>
  <c r="K127" i="2" a="1"/>
  <c r="K127" i="2" s="1"/>
  <c r="K128" i="2" a="1"/>
  <c r="K128" i="2" s="1"/>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s="1"/>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s="1"/>
  <c r="K186" i="2" a="1"/>
  <c r="K186" i="2" s="1"/>
  <c r="K187" i="2" a="1"/>
  <c r="K187" i="2" s="1"/>
  <c r="K188" i="2" a="1"/>
  <c r="K188" i="2" s="1"/>
  <c r="K189" i="2" a="1"/>
  <c r="K189" i="2" s="1"/>
  <c r="K190" i="2" a="1"/>
  <c r="K190" i="2" s="1"/>
  <c r="K191" i="2" a="1"/>
  <c r="K191" i="2"/>
  <c r="K192" i="2" a="1"/>
  <c r="K192" i="2" s="1"/>
  <c r="K193" i="2" a="1"/>
  <c r="K193" i="2" s="1"/>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s="1"/>
  <c r="K216" i="2" a="1"/>
  <c r="K216" i="2" s="1"/>
  <c r="K217" i="2" a="1"/>
  <c r="K217" i="2" s="1"/>
  <c r="K218" i="2" a="1"/>
  <c r="K218" i="2" s="1"/>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s="1"/>
  <c r="K493" i="2" a="1"/>
  <c r="K493" i="2" s="1"/>
  <c r="K494" i="2" a="1"/>
  <c r="K494" i="2" s="1"/>
  <c r="K495" i="2" a="1"/>
  <c r="K495" i="2" s="1"/>
  <c r="K496" i="2" a="1"/>
  <c r="K496" i="2" s="1"/>
  <c r="K497" i="2" a="1"/>
  <c r="K497" i="2" s="1"/>
  <c r="K498" i="2" a="1"/>
  <c r="K498" i="2" s="1"/>
  <c r="K499" i="2" a="1"/>
  <c r="K499" i="2" s="1"/>
  <c r="K500" i="2" a="1"/>
  <c r="K500" i="2" s="1"/>
  <c r="K501" i="2" a="1"/>
  <c r="K501" i="2"/>
  <c r="K502" i="2" a="1"/>
  <c r="K502" i="2" s="1"/>
  <c r="K503" i="2" a="1"/>
  <c r="K503" i="2" s="1"/>
  <c r="K504" i="2" a="1"/>
  <c r="K504" i="2" s="1"/>
  <c r="K505" i="2" a="1"/>
  <c r="K505" i="2" s="1"/>
  <c r="K506" i="2" a="1"/>
  <c r="K506" i="2" s="1"/>
  <c r="K507" i="2" a="1"/>
  <c r="K507" i="2"/>
  <c r="K508" i="2" a="1"/>
  <c r="K508" i="2" s="1"/>
  <c r="K509" i="2" a="1"/>
  <c r="K509" i="2" s="1"/>
  <c r="K510" i="2" a="1"/>
  <c r="K510" i="2" s="1"/>
  <c r="K511" i="2" a="1"/>
  <c r="K511" i="2" s="1"/>
  <c r="K512" i="2" a="1"/>
  <c r="K512" i="2" s="1"/>
  <c r="K513" i="2" a="1"/>
  <c r="K513" i="2" s="1"/>
  <c r="K514" i="2" a="1"/>
  <c r="K514" i="2" s="1"/>
  <c r="K515" i="2" a="1"/>
  <c r="K515" i="2" s="1"/>
  <c r="K516" i="2" a="1"/>
  <c r="K516" i="2" s="1"/>
  <c r="K517" i="2" a="1"/>
  <c r="K517" i="2"/>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s="1"/>
  <c r="K547" i="2" a="1"/>
  <c r="K547" i="2" s="1"/>
  <c r="K548" i="2" a="1"/>
  <c r="K548" i="2" s="1"/>
  <c r="K549" i="2" a="1"/>
  <c r="K549" i="2" s="1"/>
  <c r="K550" i="2" a="1"/>
  <c r="K550" i="2" s="1"/>
  <c r="K551" i="2" a="1"/>
  <c r="K551" i="2" s="1"/>
  <c r="K552" i="2" a="1"/>
  <c r="K552" i="2" s="1"/>
  <c r="K553" i="2" a="1"/>
  <c r="K553" i="2" s="1"/>
  <c r="K554" i="2" a="1"/>
  <c r="K554" i="2" s="1"/>
  <c r="K555" i="2" a="1"/>
  <c r="K555" i="2" s="1"/>
  <c r="K556" i="2" a="1"/>
  <c r="K556" i="2" s="1"/>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s="1"/>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s="1"/>
  <c r="K605" i="2" a="1"/>
  <c r="K605" i="2" s="1"/>
  <c r="K606" i="2" a="1"/>
  <c r="K606" i="2" s="1"/>
  <c r="K607" i="2" a="1"/>
  <c r="K607" i="2" s="1"/>
  <c r="K608" i="2" a="1"/>
  <c r="K608" i="2" s="1"/>
  <c r="K609" i="2" a="1"/>
  <c r="K609" i="2" s="1"/>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s="1"/>
  <c r="K622" i="2" a="1"/>
  <c r="K622" i="2" s="1"/>
  <c r="K623" i="2" a="1"/>
  <c r="K623" i="2" s="1"/>
  <c r="K624" i="2" a="1"/>
  <c r="K624" i="2" s="1"/>
  <c r="K625" i="2" a="1"/>
  <c r="K625" i="2" s="1"/>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s="1"/>
  <c r="K637" i="2" a="1"/>
  <c r="K637" i="2" s="1"/>
  <c r="K638" i="2" a="1"/>
  <c r="K638" i="2" s="1"/>
  <c r="K639" i="2" a="1"/>
  <c r="K639" i="2" s="1"/>
  <c r="K640" i="2" a="1"/>
  <c r="K640" i="2" s="1"/>
  <c r="K641" i="2" a="1"/>
  <c r="K641" i="2" s="1"/>
  <c r="K642" i="2" a="1"/>
  <c r="K642" i="2" s="1"/>
  <c r="K643" i="2" a="1"/>
  <c r="K643" i="2" s="1"/>
  <c r="K644" i="2" a="1"/>
  <c r="K644" i="2" s="1"/>
  <c r="K645" i="2" a="1"/>
  <c r="K645" i="2" s="1"/>
  <c r="K646" i="2" a="1"/>
  <c r="K646" i="2" s="1"/>
  <c r="K647" i="2" a="1"/>
  <c r="K647" i="2" s="1"/>
  <c r="K648" i="2" a="1"/>
  <c r="K648" i="2" s="1"/>
  <c r="K649" i="2" a="1"/>
  <c r="K649" i="2" s="1"/>
  <c r="K650" i="2" a="1"/>
  <c r="K650" i="2" s="1"/>
  <c r="K651" i="2" a="1"/>
  <c r="K651" i="2"/>
  <c r="K652" i="2" a="1"/>
  <c r="K652" i="2"/>
  <c r="K653" i="2" a="1"/>
  <c r="K653" i="2" s="1"/>
  <c r="K654" i="2" a="1"/>
  <c r="K654" i="2" s="1"/>
  <c r="K655" i="2" a="1"/>
  <c r="K655" i="2" s="1"/>
  <c r="K656" i="2" a="1"/>
  <c r="K656" i="2" s="1"/>
  <c r="K657" i="2" a="1"/>
  <c r="K657" i="2" s="1"/>
  <c r="K658" i="2" a="1"/>
  <c r="K658" i="2"/>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s="1"/>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s="1"/>
  <c r="K707" i="2" a="1"/>
  <c r="K707" i="2" s="1"/>
  <c r="K708" i="2" a="1"/>
  <c r="K708" i="2" s="1"/>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s="1"/>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s="1"/>
  <c r="K754" i="2" a="1"/>
  <c r="K754" i="2"/>
  <c r="K755" i="2" a="1"/>
  <c r="K755" i="2" s="1"/>
  <c r="K756" i="2" a="1"/>
  <c r="K756" i="2" s="1"/>
  <c r="K757" i="2" a="1"/>
  <c r="K757" i="2" s="1"/>
  <c r="K758" i="2" a="1"/>
  <c r="K758" i="2" s="1"/>
  <c r="K759" i="2" a="1"/>
  <c r="K759" i="2" s="1"/>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s="1"/>
  <c r="K799" i="2" a="1"/>
  <c r="K799" i="2" s="1"/>
  <c r="K800" i="2" a="1"/>
  <c r="K800" i="2" s="1"/>
  <c r="K801" i="2" a="1"/>
  <c r="K801" i="2" s="1"/>
  <c r="K802" i="2" a="1"/>
  <c r="K802" i="2" s="1"/>
  <c r="K803" i="2" a="1"/>
  <c r="K803" i="2" s="1"/>
  <c r="K804" i="2" a="1"/>
  <c r="K804" i="2" s="1"/>
  <c r="K805" i="2" a="1"/>
  <c r="K805" i="2" s="1"/>
  <c r="K806" i="2" a="1"/>
  <c r="K806" i="2" s="1"/>
  <c r="K807" i="2" a="1"/>
  <c r="K807" i="2" s="1"/>
  <c r="K808" i="2" a="1"/>
  <c r="K808" i="2" s="1"/>
  <c r="K809" i="2" a="1"/>
  <c r="K809" i="2" s="1"/>
  <c r="K810" i="2" a="1"/>
  <c r="K810" i="2" s="1"/>
  <c r="K811" i="2" a="1"/>
  <c r="K811" i="2" s="1"/>
  <c r="K812" i="2" a="1"/>
  <c r="K812" i="2" s="1"/>
  <c r="K813" i="2" a="1"/>
  <c r="K813" i="2" s="1"/>
  <c r="K814" i="2" a="1"/>
  <c r="K814" i="2" s="1"/>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s="1"/>
  <c r="K989" i="2" a="1"/>
  <c r="K989" i="2" s="1"/>
  <c r="K990" i="2" a="1"/>
  <c r="K990" i="2" s="1"/>
  <c r="K991" i="2" a="1"/>
  <c r="K991" i="2" s="1"/>
  <c r="K992" i="2" a="1"/>
  <c r="K992" i="2" s="1"/>
  <c r="K993" i="2" a="1"/>
  <c r="K993" i="2"/>
  <c r="K994" i="2" a="1"/>
  <c r="K994" i="2"/>
  <c r="K995" i="2" a="1"/>
  <c r="K995" i="2" s="1"/>
  <c r="K996" i="2" a="1"/>
  <c r="K996" i="2" s="1"/>
  <c r="K997" i="2" a="1"/>
  <c r="K997" i="2" s="1"/>
  <c r="K998" i="2" a="1"/>
  <c r="K998" i="2" s="1"/>
  <c r="K999" i="2" a="1"/>
  <c r="K999" i="2" s="1"/>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H34" i="7" l="1"/>
  <c r="H35" i="7"/>
  <c r="I31" i="7"/>
  <c r="H31" i="7"/>
  <c r="I32" i="7"/>
  <c r="I33" i="7"/>
  <c r="I34" i="7"/>
  <c r="I35" i="7"/>
  <c r="H3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ECB1CB-F057-474D-B2E3-8B7D17556E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C454396-E058-4960-BCCC-93508D85B811}" name="WorksheetConnection_Call_Center Portfolio Project.xlsx!calls" type="102" refreshedVersion="8" minRefreshableVersion="5">
    <extLst>
      <ext xmlns:x15="http://schemas.microsoft.com/office/spreadsheetml/2010/11/main" uri="{DE250136-89BD-433C-8126-D09CA5730AF9}">
        <x15:connection id="calls" autoDelete="1">
          <x15:rangePr sourceName="_xlcn.WorksheetConnection_Call_CenterPortfolioProject.xlsxcalls1"/>
        </x15:connection>
      </ext>
    </extLst>
  </connection>
  <connection id="3" xr16:uid="{12117DE1-C178-4B44-A915-4C8756C3A53D}" name="WorksheetConnection_Call_Center Portfolio Project.xlsx!customers" type="102" refreshedVersion="8" minRefreshableVersion="5">
    <extLst>
      <ext xmlns:x15="http://schemas.microsoft.com/office/spreadsheetml/2010/11/main" uri="{DE250136-89BD-433C-8126-D09CA5730AF9}">
        <x15:connection id="customers">
          <x15:rangePr sourceName="_xlcn.WorksheetConnection_Call_Center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<sst xmlns="http://schemas.openxmlformats.org/spreadsheetml/2006/main" count="3163" uniqueCount="1077">
  <si>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</si>
  <si>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</si>
  <si>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</si>
  <si>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</si>
  <si>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</si>
  <si>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</si>
  <si>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</si>
  <si>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</si>
  <si>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</si>
  <si>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</si>
  <si>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</si>
  <si>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</si>
  <si>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</si>
  <si>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</si>
  <si>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</si>
  <si>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</si>
  <si>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</si>
  <si>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</si>
  <si>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</si>
  <si>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</si>
  <si>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</si>
  <si>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</si>
  <si>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</si>
  <si>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</si>
  <si>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</si>
  <si>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</si>
  <si>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</si>
  <si>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</si>
  <si>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</si>
  <si>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</si>
  <si>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</si>
  <si>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</si>
  <si>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</si>
  <si>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</si>
  <si>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</si>
  <si>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</si>
  <si>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</si>
  <si>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</si>
  <si>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</si>
  <si>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</si>
  <si>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</si>
  <si>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</si>
  <si>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</si>
  <si>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</si>
  <si>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</si>
  <si>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</si>
  <si>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</si>
  <si>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</si>
  <si>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</si>
  <si>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</si>
  <si>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</si>
  <si>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</si>
  <si>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</si>
  <si>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</si>
  <si>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</si>
  <si>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</si>
  <si>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</si>
  <si>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</si>
  <si>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</si>
  <si>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</si>
  <si>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</si>
  <si>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</si>
  <si>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</si>
  <si>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</si>
  <si>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</si>
  <si>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</si>
  <si>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</si>
  <si>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</si>
  <si>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</si>
  <si>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</si>
  <si>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</si>
  <si>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</si>
  <si>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</si>
  <si>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</si>
  <si>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</si>
  <si>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</si>
  <si>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</si>
  <si>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</si>
  <si>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</si>
  <si>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</si>
  <si>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</si>
  <si>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</si>
  <si>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</si>
  <si>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</si>
  <si>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</si>
  <si>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</si>
  <si>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</si>
  <si>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</si>
  <si>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</si>
  <si>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</si>
  <si>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</si>
  <si>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</si>
  <si>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</si>
  <si>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</si>
  <si>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</si>
  <si>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</si>
  <si>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</si>
  <si>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</si>
  <si>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</si>
  <si>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</si>
  <si>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</si>
  <si>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</si>
  <si>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</si>
  <si>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</si>
  <si>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</si>
  <si>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</si>
  <si>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</si>
  <si>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</si>
  <si>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</si>
  <si>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</si>
  <si>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</si>
  <si>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</si>
  <si>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</si>
  <si>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</si>
  <si>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</si>
  <si>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</si>
  <si>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</si>
  <si>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</si>
  <si>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</si>
  <si>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</si>
  <si>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</si>
  <si>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</si>
  <si>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</si>
  <si>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</si>
  <si>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</si>
  <si>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</si>
  <si>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</si>
  <si>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</si>
  <si>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</si>
  <si>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</si>
  <si>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</si>
  <si>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</si>
  <si>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</si>
  <si>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</si>
  <si>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</si>
  <si>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</si>
  <si>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</si>
  <si>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</si>
  <si>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</si>
  <si>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</si>
  <si>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</si>
  <si>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</si>
  <si>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</si>
  <si>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</si>
  <si>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</si>
  <si>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</si>
  <si>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</si>
  <si>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</si>
  <si>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</si>
  <si>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</si>
  <si>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</si>
  <si>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</si>
  <si>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</si>
  <si>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</si>
  <si>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</si>
  <si>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</si>
  <si>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</si>
  <si>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</si>
  <si>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</si>
  <si>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</si>
  <si>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</si>
  <si>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</si>
  <si>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</si>
  <si>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</si>
  <si>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</si>
  <si>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</si>
  <si>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</si>
  <si>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</si>
  <si>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</si>
  <si>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</si>
  <si>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</si>
  <si>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</si>
  <si>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</si>
  <si>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</si>
  <si>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</si>
  <si>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</si>
  <si>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</si>
  <si>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</si>
  <si>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</si>
  <si>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</si>
  <si>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</si>
  <si>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</si>
  <si>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</si>
  <si>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</si>
  <si>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</si>
  <si>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</si>
  <si>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</si>
  <si>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</si>
  <si>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</si>
  <si>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</si>
  <si>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</si>
  <si>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</si>
  <si>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</si>
  <si>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</si>
  <si>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</si>
  <si>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</si>
  <si>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</si>
  <si>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</si>
  <si>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</si>
  <si>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</si>
  <si>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</si>
  <si>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</si>
  <si>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</si>
  <si>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</si>
  <si>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</si>
  <si>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</si>
  <si>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</si>
  <si>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</si>
  <si>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</si>
  <si>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</si>
  <si>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</si>
  <si>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</si>
  <si>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</si>
  <si>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</si>
  <si>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</si>
  <si>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</si>
  <si>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</si>
  <si>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</si>
  <si>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</si>
  <si>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</si>
  <si>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</si>
  <si>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</si>
  <si>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</si>
  <si>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</si>
  <si>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</si>
  <si>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</si>
  <si>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</si>
  <si>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</si>
  <si>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</si>
  <si>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</si>
  <si>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</si>
  <si>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</si>
  <si>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</si>
  <si>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</si>
  <si>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</si>
  <si>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</si>
  <si>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</si>
  <si>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</si>
  <si>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</si>
  <si>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</si>
  <si>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</si>
  <si>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</si>
  <si>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</si>
  <si>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</si>
  <si>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</si>
  <si>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</si>
  <si>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</si>
  <si>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</si>
  <si>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</si>
  <si>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</si>
  <si>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</si>
  <si>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</si>
  <si>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</si>
  <si>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</si>
  <si>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</si>
  <si>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</si>
  <si>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</si>
  <si>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</si>
  <si>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</si>
  <si>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</si>
  <si>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</si>
  <si>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</si>
  <si>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</si>
  <si>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</si>
  <si>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</si>
  <si>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</si>
  <si>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</si>
  <si>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</si>
  <si>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</si>
  <si>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</si>
  <si>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</si>
  <si>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</si>
  <si>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</si>
  <si>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</si>
  <si>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</si>
  <si>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</si>
  <si>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</si>
  <si>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</si>
  <si>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</si>
  <si>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</si>
  <si>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</si>
  <si>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</si>
  <si>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</si>
  <si>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</si>
  <si>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</si>
  <si>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</si>
  <si>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</si>
  <si>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</si>
  <si>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</si>
  <si>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</si>
  <si>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</si>
  <si>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</si>
  <si>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</si>
  <si>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</si>
  <si>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</si>
  <si>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</si>
  <si>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</si>
  <si>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</si>
  <si>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</si>
  <si>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</si>
  <si>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</si>
  <si>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</si>
  <si>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</si>
  <si>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</si>
  <si>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</si>
  <si>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</si>
  <si>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</si>
  <si>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</si>
  <si>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</si>
  <si>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</si>
  <si>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</si>
  <si>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</si>
  <si>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</si>
  <si>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</si>
  <si>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</si>
  <si>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</si>
  <si>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</si>
  <si>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</si>
  <si>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</si>
  <si>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</si>
  <si>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</si>
  <si>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</si>
  <si>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</si>
  <si>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</si>
  <si>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</si>
  <si>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</si>
  <si>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</si>
  <si>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</si>
  <si>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</si>
  <si>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</si>
  <si>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</si>
  <si>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</si>
  <si>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</si>
  <si>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</si>
  <si>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</si>
  <si>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</si>
  <si>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</si>
  <si>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</si>
  <si>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</si>
  <si>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</si>
  <si>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</si>
  <si>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</si>
  <si>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</si>
  <si>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</si>
  <si>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</si>
  <si>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</si>
  <si>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</si>
  <si>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</si>
  <si>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</si>
  <si>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</si>
  <si>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</si>
  <si>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</si>
  <si>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</si>
  <si>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</si>
  <si>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</si>
  <si>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</si>
  <si>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</si>
  <si>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</si>
  <si>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</si>
  <si>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</si>
  <si>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</si>
  <si>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</si>
  <si>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</si>
  <si>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</si>
  <si>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</si>
  <si>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</si>
  <si>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</si>
  <si>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</si>
  <si>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</si>
  <si>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</si>
  <si>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</si>
  <si>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</si>
  <si>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</si>
  <si>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</si>
  <si>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</si>
  <si>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</si>
  <si>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</si>
  <si>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</si>
  <si>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</si>
  <si>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</si>
  <si>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</si>
  <si>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</si>
  <si>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</si>
  <si>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</si>
  <si>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</si>
  <si>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</si>
  <si>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</si>
  <si>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</si>
  <si>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</si>
  <si>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</si>
  <si>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</si>
  <si>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</si>
  <si>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</si>
  <si>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</si>
  <si>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</si>
  <si>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</si>
  <si>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</si>
  <si>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</si>
  <si>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</si>
  <si>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</si>
  <si>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</si>
  <si>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</si>
  <si>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</si>
  <si>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</si>
  <si>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</si>
  <si>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</si>
  <si>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</si>
  <si>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</si>
  <si>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</si>
  <si>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</si>
  <si>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</si>
  <si>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</si>
  <si>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</si>
  <si>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</si>
  <si>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</si>
  <si>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</si>
  <si>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</si>
  <si>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</si>
  <si>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</si>
  <si>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</si>
  <si>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</si>
  <si>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</si>
  <si>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</si>
  <si>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</si>
  <si>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</si>
  <si>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</si>
  <si>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</si>
  <si>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</si>
  <si>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</si>
  <si>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</si>
  <si>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</si>
  <si>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</si>
  <si>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</si>
  <si>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</si>
  <si>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</si>
  <si>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</si>
  <si>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</si>
  <si>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</si>
  <si>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</si>
  <si>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</si>
  <si>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</si>
  <si>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</si>
  <si>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</si>
  <si>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</si>
  <si>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</si>
  <si>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</si>
  <si>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</si>
  <si>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</si>
  <si>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</si>
  <si>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</si>
  <si>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</si>
  <si>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</si>
  <si>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</si>
  <si>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</si>
  <si>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</si>
  <si>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</si>
  <si>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</si>
  <si>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</si>
  <si>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</si>
  <si>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</si>
  <si>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</si>
  <si>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</si>
  <si>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</si>
  <si>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</si>
  <si>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</si>
  <si>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</si>
  <si>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</si>
  <si>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</si>
  <si>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</si>
  <si>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</si>
  <si>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</si>
  <si>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</si>
  <si>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</si>
  <si>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</si>
  <si>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</si>
  <si>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</si>
  <si>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</si>
  <si>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</si>
  <si>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</si>
  <si>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</si>
  <si>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</si>
  <si>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</si>
  <si>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</si>
  <si>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</si>
  <si>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</si>
  <si>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</si>
  <si>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</si>
  <si>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</si>
  <si>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</si>
  <si>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</si>
  <si>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</si>
  <si>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</si>
  <si>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</si>
  <si>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</si>
  <si>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</si>
  <si>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</si>
  <si>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</si>
  <si>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</si>
  <si>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</si>
  <si>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</si>
  <si>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</si>
  <si>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</si>
  <si>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</si>
  <si>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</si>
  <si>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</si>
  <si>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</si>
  <si>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</si>
  <si>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</si>
  <si>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</si>
  <si>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</si>
  <si>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</si>
  <si>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</si>
  <si>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</si>
  <si>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</si>
  <si>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</si>
  <si>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</si>
  <si>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</si>
  <si>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</si>
  <si>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</si>
  <si>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</si>
  <si>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</si>
  <si>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</si>
  <si>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</si>
  <si>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</si>
  <si>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</si>
  <si>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</si>
  <si>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</si>
  <si>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</si>
  <si>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</si>
  <si>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</si>
  <si>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</si>
  <si>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</si>
  <si>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</si>
  <si>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</si>
  <si>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</si>
  <si>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</si>
  <si>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</si>
  <si>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</si>
  <si>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</si>
  <si>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</si>
  <si>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</si>
  <si>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</si>
  <si>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</si>
  <si>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</si>
  <si>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</si>
  <si>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</si>
  <si>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</si>
  <si>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</si>
  <si>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</si>
  <si>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</si>
  <si>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</si>
  <si>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</si>
  <si>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</si>
  <si>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</si>
  <si>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</si>
  <si>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</si>
  <si>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</si>
  <si>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</si>
  <si>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</si>
  <si>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</si>
  <si>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</si>
  <si>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</si>
  <si>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</si>
  <si>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</si>
  <si>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</si>
  <si>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</si>
  <si>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</si>
  <si>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</si>
  <si>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</si>
  <si>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</si>
  <si>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</si>
  <si>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</si>
  <si>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</si>
  <si>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</si>
  <si>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</si>
  <si>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</si>
  <si>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</si>
  <si>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</si>
  <si>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</si>
  <si>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</si>
  <si>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</si>
  <si>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</si>
  <si>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</si>
  <si>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</si>
  <si>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</si>
  <si>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</si>
  <si>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</si>
  <si>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</si>
  <si>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</si>
  <si>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</si>
  <si>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</si>
  <si>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</si>
  <si>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</si>
  <si>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</si>
  <si>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</si>
  <si>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</si>
  <si>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</si>
  <si>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</si>
  <si>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</si>
  <si>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</si>
  <si>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</si>
  <si>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</si>
  <si>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</si>
  <si>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</si>
  <si>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</si>
  <si>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</si>
  <si>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</si>
  <si>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</si>
  <si>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</si>
  <si>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</si>
  <si>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</si>
  <si>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</si>
  <si>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</si>
  <si>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</si>
  <si>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</si>
  <si>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</si>
  <si>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</si>
  <si>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</si>
  <si>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</si>
  <si>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</si>
  <si>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</si>
  <si>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</si>
  <si>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</si>
  <si>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</si>
  <si>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</si>
  <si>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</si>
  <si>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</si>
  <si>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</si>
  <si>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</si>
  <si>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</si>
  <si>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</si>
  <si>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</si>
  <si>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</si>
  <si>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</si>
  <si>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</si>
  <si>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</si>
  <si>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</si>
  <si>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</si>
  <si>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</si>
  <si>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</si>
  <si>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</si>
  <si>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</si>
  <si>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</si>
  <si>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</si>
  <si>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</si>
  <si>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</si>
  <si>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</si>
  <si>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</si>
  <si>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</si>
  <si>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</si>
  <si>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</si>
  <si>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</si>
  <si>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</si>
  <si>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</si>
  <si>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</si>
  <si>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</si>
  <si>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</si>
  <si>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</si>
  <si>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</si>
  <si>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</si>
  <si>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</si>
  <si>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</si>
  <si>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</si>
  <si>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</si>
  <si>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</si>
  <si>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</si>
  <si>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</si>
  <si>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</si>
  <si>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</si>
  <si>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</si>
  <si>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</si>
  <si>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</si>
  <si>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</si>
  <si>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</si>
  <si>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</si>
  <si>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</si>
  <si>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</si>
  <si>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</si>
  <si>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</si>
  <si>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</si>
  <si>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</si>
  <si>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</si>
  <si>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</si>
  <si>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</si>
  <si>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</si>
  <si>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</si>
  <si>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</si>
  <si>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</si>
  <si>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</si>
  <si>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</si>
  <si>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</si>
  <si>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</si>
  <si>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</si>
  <si>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</si>
  <si>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</si>
  <si>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</si>
  <si>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</si>
  <si>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</si>
  <si>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</si>
  <si>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</si>
  <si>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</si>
  <si>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</si>
  <si>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</si>
  <si>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</si>
  <si>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</si>
  <si>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</si>
  <si>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</si>
  <si>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</si>
  <si>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</si>
  <si>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</si>
  <si>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</si>
  <si>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</si>
  <si>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</si>
  <si>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</si>
  <si>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</si>
  <si>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</si>
  <si>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</si>
  <si>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</si>
  <si>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</si>
  <si>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</si>
  <si>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</si>
  <si>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</si>
  <si>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</si>
  <si>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</si>
  <si>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</si>
  <si>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</si>
  <si>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</si>
  <si>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</si>
  <si>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</si>
  <si>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</si>
  <si>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</si>
  <si>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</si>
  <si>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</si>
  <si>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</si>
  <si>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</si>
  <si>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</si>
  <si>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</si>
  <si>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</si>
  <si>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</si>
  <si>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</si>
  <si>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</si>
  <si>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</si>
  <si>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</si>
  <si>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</si>
  <si>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</si>
  <si>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</si>
  <si>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</si>
  <si>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</si>
  <si>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</si>
  <si>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</si>
  <si>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</si>
  <si>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</si>
  <si>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</si>
  <si>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</si>
  <si>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</si>
  <si>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</si>
  <si>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</si>
  <si>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</si>
  <si>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</si>
  <si>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</si>
  <si>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</si>
  <si>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</si>
  <si>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</si>
  <si>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</si>
  <si>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</si>
  <si>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</si>
  <si>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</si>
  <si>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</si>
  <si>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</si>
  <si>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</si>
  <si>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</si>
  <si>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</si>
  <si>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</si>
  <si>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</si>
  <si>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</si>
  <si>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</si>
  <si>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</si>
  <si>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</si>
  <si>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</si>
  <si>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</si>
  <si>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</si>
  <si>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</si>
  <si>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</si>
  <si>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</si>
  <si>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</si>
  <si>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</si>
  <si>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</si>
  <si>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</si>
  <si>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</si>
  <si>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</si>
  <si>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</si>
  <si>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</si>
  <si>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</si>
  <si>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</si>
  <si>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</si>
  <si>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</si>
  <si>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</si>
  <si>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</si>
  <si>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</si>
  <si>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</si>
  <si>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</si>
  <si>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</si>
  <si>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</si>
  <si>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</si>
  <si>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</si>
  <si>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</si>
  <si>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</si>
  <si>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</si>
  <si>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</si>
  <si>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</si>
  <si>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</si>
  <si>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</si>
  <si>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</si>
  <si>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</si>
  <si>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</si>
  <si>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</si>
  <si>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</si>
  <si>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</si>
  <si>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</si>
  <si>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</si>
  <si>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</si>
  <si>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</si>
  <si>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</si>
  <si>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</si>
  <si>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</si>
  <si>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</si>
  <si>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</si>
  <si>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</si>
  <si>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</si>
  <si>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</si>
  <si>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</si>
  <si>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</si>
  <si>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</si>
  <si>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</si>
  <si>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</si>
  <si>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</si>
  <si>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</si>
  <si>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</si>
  <si>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</si>
  <si>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</si>
  <si>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</si>
  <si>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</si>
  <si>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</si>
  <si>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</si>
  <si>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</si>
  <si>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</si>
  <si>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</si>
  <si>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</si>
  <si>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</si>
  <si>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</si>
  <si>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</si>
  <si>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</si>
  <si>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</si>
  <si>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</si>
  <si>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</si>
  <si>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</si>
  <si>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</si>
  <si>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</si>
  <si>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</si>
  <si>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</si>
  <si>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</si>
  <si>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</si>
  <si>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</si>
  <si>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</si>
  <si>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</si>
  <si>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</si>
  <si>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</si>
  <si>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</si>
  <si>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</si>
  <si>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</si>
  <si>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</si>
  <si>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</si>
  <si>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</si>
  <si>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</si>
  <si>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</si>
  <si>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</si>
  <si>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</si>
  <si>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</si>
  <si>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</si>
  <si>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</si>
  <si>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</si>
  <si>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</si>
  <si>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</si>
  <si>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</si>
  <si>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</si>
  <si>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</si>
  <si>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</si>
  <si>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</si>
  <si>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</si>
  <si>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</si>
  <si>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</si>
  <si>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</si>
  <si>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</si>
  <si>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</si>
  <si>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</si>
  <si>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</si>
  <si>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</si>
  <si>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</si>
  <si>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</si>
  <si>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</si>
  <si>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</si>
  <si>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</si>
  <si>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</si>
  <si>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</si>
  <si>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</si>
  <si>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</si>
  <si>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</si>
  <si>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</si>
  <si>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</si>
  <si>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</si>
  <si>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</si>
  <si>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</si>
  <si>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</si>
  <si>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</si>
  <si>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</si>
  <si>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</si>
  <si>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</si>
  <si>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</si>
  <si>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</si>
  <si>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</si>
  <si>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</si>
  <si>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</si>
  <si>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</si>
  <si>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</si>
  <si>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</si>
  <si>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</si>
  <si>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</si>
  <si>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</si>
  <si>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</si>
  <si>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</si>
  <si>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</si>
  <si>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</si>
  <si>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</si>
  <si>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</si>
  <si>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</si>
  <si>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</si>
  <si>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</si>
  <si>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</si>
  <si>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</si>
  <si>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</si>
  <si>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</si>
  <si>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</si>
  <si>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</si>
  <si>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</si>
  <si>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</si>
  <si>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</si>
  <si>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</si>
  <si>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</si>
  <si>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</si>
  <si>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</si>
  <si>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</si>
  <si>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</si>
  <si>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</si>
  <si>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</si>
  <si>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</si>
  <si>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</si>
  <si>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</si>
  <si>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</si>
  <si>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</si>
  <si>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</si>
  <si>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</si>
  <si>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</si>
  <si>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</si>
  <si>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</si>
  <si>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</si>
  <si>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</si>
  <si>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</si>
  <si>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</si>
  <si>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</si>
  <si>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</si>
  <si>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</si>
  <si>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</si>
  <si>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</si>
  <si>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</si>
  <si>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</si>
  <si>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</si>
  <si>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</si>
  <si>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</si>
  <si>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</si>
  <si>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</si>
  <si>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</si>
  <si>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</si>
  <si>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</si>
  <si>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</si>
  <si>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</si>
  <si>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</si>
  <si>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</si>
  <si>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</si>
  <si>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</si>
  <si>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</si>
  <si>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</si>
  <si>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</si>
  <si>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</si>
  <si>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</si>
  <si>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</si>
  <si>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</si>
  <si>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</si>
  <si>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</si>
  <si>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</si>
  <si>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</si>
  <si>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</si>
  <si>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</si>
  <si>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</si>
  <si>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</si>
  <si>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</si>
  <si>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</si>
  <si>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</si>
  <si>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</si>
  <si>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</si>
  <si>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</si>
  <si>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</si>
  <si>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</si>
  <si>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</si>
  <si>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</si>
  <si>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</si>
  <si>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</si>
  <si>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</si>
  <si>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</si>
  <si>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</si>
  <si>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</si>
  <si>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</si>
  <si>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</si>
  <si>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</si>
  <si>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</si>
  <si>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</si>
  <si>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</si>
  <si>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</si>
  <si>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</si>
  <si>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</si>
  <si>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</si>
  <si>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</si>
  <si>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</si>
  <si>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</si>
  <si>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</si>
  <si>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</si>
  <si>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</si>
  <si>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</si>
  <si>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</si>
  <si>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</si>
  <si>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</si>
  <si>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</si>
  <si>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</si>
  <si>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Callcount</t>
  </si>
  <si>
    <t>Total Amount</t>
  </si>
  <si>
    <t>Total Duration</t>
  </si>
  <si>
    <t xml:space="preserve">Average Rating </t>
  </si>
  <si>
    <t>5 STAR RATING</t>
  </si>
  <si>
    <t>Row Labels</t>
  </si>
  <si>
    <t>Grand Total</t>
  </si>
  <si>
    <t>Jan</t>
  </si>
  <si>
    <t>Feb</t>
  </si>
  <si>
    <t>Mar</t>
  </si>
  <si>
    <t>Apr</t>
  </si>
  <si>
    <t>May</t>
  </si>
  <si>
    <t>Jun</t>
  </si>
  <si>
    <t>Jul</t>
  </si>
  <si>
    <t>Aug</t>
  </si>
  <si>
    <t>Sep</t>
  </si>
  <si>
    <t>Oct</t>
  </si>
  <si>
    <t>Nov</t>
  </si>
  <si>
    <t>Dec</t>
  </si>
  <si>
    <t>Callcount2</t>
  </si>
  <si>
    <t>Thursday</t>
  </si>
  <si>
    <t>Sunday</t>
  </si>
  <si>
    <t>Monday</t>
  </si>
  <si>
    <t>Tuesday</t>
  </si>
  <si>
    <t>Wednesday</t>
  </si>
  <si>
    <t>Friday</t>
  </si>
  <si>
    <t>Saturday</t>
  </si>
  <si>
    <t>reps</t>
  </si>
  <si>
    <t>calls</t>
  </si>
  <si>
    <t>amount</t>
  </si>
  <si>
    <t>sel calls</t>
  </si>
  <si>
    <t>sel amount</t>
  </si>
  <si>
    <t>selected reps</t>
  </si>
  <si>
    <t>Column Labels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</si>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</sst>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quot;₹&quot;\ #,##0;#,##0\ \-&quot;₹&quot;;&quot;₹&quot;\ #,##0"/>
    <numFmt numFmtId="166" formatCode="0.0"/>
    <numFmt numFmtId="167" formatCode="&quot;₹&quot;\ #,###.0,\k"/>
    <numFmt numFmtId="168" formatCode="_ [$₹-4009]\ * #,##0_ ;_ [$₹-4009]\ * \-#,##0_ ;_ [$₹-4009]\ * &quot;-&quot;??_ ;_ @_ "/>
  </numFmts>
  <fonts count="5"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0"/>
      <name val="Aptos"/>
      <family val="2"/>
      <scheme val="minor"/>
    </font>
  </fonts>
  <fills count="4">
    <fill>
      <patternFill patternType="none"/>
    </fill>
    <fill>
      <patternFill patternType="gray125"/>
    </fill>
    <fill>
      <patternFill patternType="solid">
        <fgColor theme="7"/>
        <bgColor indexed="64"/>
      </patternFill>
    </fill>
    <fill>
      <patternFill patternType="solid">
        <fgColor them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1">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3" borderId="0" xfId="0" applyFill="1"/>
    <xf numFmtId="0" fontId="4" fillId="3" borderId="0" xfId="0" applyFont="1" applyFill="1"/>
    <xf numFmtId="0" fontId="0" fillId="0" borderId="0" xfId="0" applyAlignment="1">
      <alignment horizontal="left"/>
    </xf>
    <xf numFmtId="167" fontId="0" fillId="0" borderId="0" xfId="0" applyNumberFormat="1"/>
    <xf numFmtId="0" fontId="0" fillId="0" borderId="0" xfId="0" applyAlignment="1">
      <alignment horizontal="left" indent="1"/>
    </xf>
    <xf numFmtId="0" fontId="0" fillId="3" borderId="0" xfId="0" applyFill="1" applyAlignment="1">
      <alignment horizontal="right"/>
    </xf>
    <xf numFmtId="168" fontId="0" fillId="3" borderId="0" xfId="0" applyNumberFormat="1" applyFill="1"/>
  </cellXfs>
  <cellStyles count="1">
    <cellStyle name="Normal" xfId="0" builtinId="0"/>
  </cellStyles>
  <dxfs count="15">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14"/>
    </tableStyle>
  </tableStyles>
  <colors>
    <mruColors>
      <color rgb="FF8A3C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Types" Target="richData/rdRichValueTypes.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Structure" Target="richData/rdrichvaluestructure.xml"/><Relationship Id="rId27"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[Call_Center Portfolio Project.xlsx]Pivots!Month Trends</c:name>
    <c:fmtId val="23"/>
  </c:pivotSource>
  <c:chart>
    <c:title>
      <c:tx>
        <c:rich>
          <a:bodyPr rot="0" spcFirstLastPara="1" vertOverflow="ellipsis" vert="horz" wrap="square" anchor="ctr" anchorCtr="1"/>
          <a:lstStyle/>
          <a:p>
            <a:pPr>
              <a:defRPr sz="1400" b="0" i="0" u="none" strike="noStrike" kern="1200" spc="0" baseline="0">
                <a:solidFill>
                  <a:srgbClr val="8A3CC4"/>
                </a:solidFill>
                <a:latin typeface="+mj-lt"/>
                <a:ea typeface="+mn-ea"/>
                <a:cs typeface="+mn-cs"/>
              </a:defRPr>
            </a:pPr>
            <a:r>
              <a:rPr lang="en-IN">
                <a:solidFill>
                  <a:srgbClr val="8A3CC4"/>
                </a:solidFill>
                <a:latin typeface="+mj-lt"/>
              </a:rPr>
              <a:t>Call</a:t>
            </a:r>
            <a:r>
              <a:rPr lang="en-IN" baseline="0">
                <a:solidFill>
                  <a:srgbClr val="8A3CC4"/>
                </a:solidFill>
                <a:latin typeface="+mj-lt"/>
              </a:rPr>
              <a:t> Trends</a:t>
            </a:r>
            <a:endParaRPr lang="en-IN">
              <a:solidFill>
                <a:srgbClr val="8A3CC4"/>
              </a:solidFill>
              <a:latin typeface="+mj-lt"/>
            </a:endParaRPr>
          </a:p>
        </c:rich>
      </c:tx>
      <c:layout>
        <c:manualLayout>
          <c:xMode val="edge"/>
          <c:yMode val="edge"/>
          <c:x val="3.6545829649277946E-2"/>
          <c:y val="2.976190476190476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rgbClr val="8A3CC4"/>
              </a:solidFill>
              <a:latin typeface="+mj-lt"/>
              <a:ea typeface="+mn-ea"/>
              <a:cs typeface="+mn-cs"/>
            </a:defRPr>
          </a:pPr>
          <a:endParaRPr lang="en-IN"/>
        </a:p>
      </c:txPr>
    </c:title>
    <c:autoTitleDeleted val="0"/>
    <c:pivotFmts>
      <c:pivotFmt>
        <c:idx val="0"/>
        <c:spPr>
          <a:solidFill>
            <a:schemeClr val="accent5"/>
          </a:solidFill>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45000">
                <a:srgbClr val="8A3CC4">
                  <a:lumMod val="99000"/>
                </a:srgbClr>
              </a:gs>
              <a:gs pos="100000">
                <a:srgbClr val="8A3CC4">
                  <a:alpha val="50000"/>
                </a:srgb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7030A0"/>
            </a:solidFill>
            <a:round/>
          </a:ln>
          <a:effectLst/>
        </c:spPr>
        <c:marker>
          <c:symbol val="circle"/>
          <c:size val="7"/>
          <c:spPr>
            <a:solidFill>
              <a:schemeClr val="bg1"/>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Pivots!$C$15</c:f>
              <c:strCache>
                <c:ptCount val="1"/>
                <c:pt idx="0">
                  <c:v>Callcount2</c:v>
                </c:pt>
              </c:strCache>
            </c:strRef>
          </c:tx>
          <c:spPr>
            <a:gradFill flip="none" rotWithShape="1">
              <a:gsLst>
                <a:gs pos="45000">
                  <a:srgbClr val="8A3CC4">
                    <a:lumMod val="99000"/>
                  </a:srgbClr>
                </a:gs>
                <a:gs pos="100000">
                  <a:srgbClr val="8A3CC4">
                    <a:alpha val="50000"/>
                  </a:srgbClr>
                </a:gs>
              </a:gsLst>
              <a:lin ang="5400000" scaled="1"/>
              <a:tileRect/>
            </a:gradFill>
            <a:ln>
              <a:noFill/>
            </a:ln>
            <a:effectLst/>
          </c:spPr>
          <c:cat>
            <c:strRef>
              <c:f>Pivots!$A$16:$A$28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Pivots!$C$16:$C$28</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ACC3-4624-90EE-E2CAD4CA0C84}"/>
            </c:ext>
          </c:extLst>
        </c:ser>
        <c:dLbls>
          <c:showLegendKey val="0"/>
          <c:showVal val="0"/>
          <c:showCatName val="0"/>
          <c:showSerName val="0"/>
          <c:showPercent val="0"/>
          <c:showBubbleSize val="0"/>
        </c:dLbls>
        <c:axId val="426636112"/>
        <c:axId val="426635152"/>
      </c:areaChart>
      <c:lineChart>
        <c:grouping val="standard"/>
        <c:varyColors val="0"/>
        <c:ser>
          <c:idx val="0"/>
          <c:order val="0"/>
          <c:tx>
            <c:strRef>
              <c:f>Pivots!$B$15</c:f>
              <c:strCache>
                <c:ptCount val="1"/>
                <c:pt idx="0">
                  <c:v>Callcount</c:v>
                </c:pt>
              </c:strCache>
            </c:strRef>
          </c:tx>
          <c:spPr>
            <a:ln w="28575" cap="rnd">
              <a:solidFill>
                <a:srgbClr val="7030A0"/>
              </a:solidFill>
              <a:round/>
            </a:ln>
            <a:effectLst/>
          </c:spPr>
          <c:marker>
            <c:symbol val="circle"/>
            <c:size val="7"/>
            <c:spPr>
              <a:solidFill>
                <a:schemeClr val="bg1"/>
              </a:solidFill>
              <a:ln w="25400">
                <a:solidFill>
                  <a:schemeClr val="tx1"/>
                </a:solidFill>
              </a:ln>
              <a:effectLst/>
            </c:spPr>
          </c:marker>
          <c:cat>
            <c:strRef>
              <c:f>Pivots!$A$16:$A$28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Pivots!$B$16:$B$28</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ACC3-4624-90EE-E2CAD4CA0C84}"/>
            </c:ext>
          </c:extLst>
        </c:ser>
        <c:dLbls>
          <c:showLegendKey val="0"/>
          <c:showVal val="0"/>
          <c:showCatName val="0"/>
          <c:showSerName val="0"/>
          <c:showPercent val="0"/>
          <c:showBubbleSize val="0"/>
        </c:dLbls>
        <c:marker val="1"/>
        <c:smooth val="0"/>
        <c:axId val="426636112"/>
        <c:axId val="426635152"/>
      </c:lineChart>
      <c:catAx>
        <c:axId val="4266361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635152"/>
        <c:crosses val="autoZero"/>
        <c:auto val="1"/>
        <c:lblAlgn val="ctr"/>
        <c:lblOffset val="100"/>
        <c:noMultiLvlLbl val="0"/>
      </c:catAx>
      <c:valAx>
        <c:axId val="426635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63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 Portfolio Project.xlsx]Pivots!Week Trends</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A3C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Pivots!$F$15</c:f>
              <c:strCache>
                <c:ptCount val="1"/>
                <c:pt idx="0">
                  <c:v>Total</c:v>
                </c:pt>
              </c:strCache>
            </c:strRef>
          </c:tx>
          <c:spPr>
            <a:solidFill>
              <a:srgbClr val="8A3C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Pivots!$E$16:$E$23</c:f>
              <c:strCache>
                <c:ptCount val="7"/>
                <c:pt idx="0">
                  <c:v>Sunday</c:v>
                </c:pt>
                <c:pt idx="1">
                  <c:v>Monday</c:v>
                </c:pt>
                <c:pt idx="2">
                  <c:v>Tuesday</c:v>
                </c:pt>
                <c:pt idx="3">
                  <c:v>Wednesday</c:v>
                </c:pt>
                <c:pt idx="4">
                  <c:v>Thursday</c:v>
                </c:pt>
                <c:pt idx="5">
                  <c:v>Friday</c:v>
                </c:pt>
                <c:pt idx="6">
                  <c:v>Saturday</c:v>
                </c:pt>
              </c:strCache>
            </c:strRef>
          </c:cat>
          <c:val>
            <c:numRef>
              <c:f>Pivots!$F$16:$F$23</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1EFD-479F-88FD-AA64794802C4}"/>
            </c:ext>
          </c:extLst>
        </c:ser>
        <c:dLbls>
          <c:showLegendKey val="0"/>
          <c:showVal val="0"/>
          <c:showCatName val="0"/>
          <c:showSerName val="0"/>
          <c:showPercent val="0"/>
          <c:showBubbleSize val="0"/>
        </c:dLbls>
        <c:gapWidth val="25"/>
        <c:axId val="1461652128"/>
        <c:axId val="1461664608"/>
      </c:barChart>
      <c:catAx>
        <c:axId val="14616521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664608"/>
        <c:crosses val="autoZero"/>
        <c:auto val="1"/>
        <c:lblAlgn val="ctr"/>
        <c:lblOffset val="100"/>
        <c:noMultiLvlLbl val="0"/>
      </c:catAx>
      <c:valAx>
        <c:axId val="1461664608"/>
        <c:scaling>
          <c:orientation val="minMax"/>
        </c:scaling>
        <c:delete val="1"/>
        <c:axPos val="b"/>
        <c:numFmt formatCode="#,##0" sourceLinked="1"/>
        <c:majorTickMark val="none"/>
        <c:minorTickMark val="none"/>
        <c:tickLblPos val="nextTo"/>
        <c:crossAx val="146165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rgbClr val="8A3CC4"/>
                </a:solidFill>
                <a:latin typeface="+mj-lt"/>
                <a:ea typeface="+mn-ea"/>
                <a:cs typeface="+mn-cs"/>
              </a:defRPr>
            </a:pPr>
            <a:r>
              <a:rPr lang="en-IN">
                <a:solidFill>
                  <a:srgbClr val="8A3CC4"/>
                </a:solidFill>
                <a:latin typeface="+mj-lt"/>
              </a:rPr>
              <a:t>Calls</a:t>
            </a:r>
          </a:p>
        </c:rich>
      </c:tx>
      <c:layout>
        <c:manualLayout>
          <c:xMode val="edge"/>
          <c:yMode val="edge"/>
          <c:x val="5.8605341246290799E-2"/>
          <c:y val="3.70846470858864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8A3CC4"/>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Pivots!$E$31:$E$35</c:f>
              <c:strCache>
                <c:ptCount val="5"/>
                <c:pt idx="0">
                  <c:v>R01</c:v>
                </c:pt>
                <c:pt idx="1">
                  <c:v>R02</c:v>
                </c:pt>
                <c:pt idx="2">
                  <c:v>R03</c:v>
                </c:pt>
                <c:pt idx="3">
                  <c:v>R04</c:v>
                </c:pt>
                <c:pt idx="4">
                  <c:v>R05</c:v>
                </c:pt>
              </c:strCache>
            </c:strRef>
          </c:cat>
          <c:val>
            <c:numRef>
              <c:f>Pivots!$F$31:$F$35</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E8EC-49AA-AF85-B0A4E5FA5B23}"/>
            </c:ext>
          </c:extLst>
        </c:ser>
        <c:ser>
          <c:idx val="1"/>
          <c:order val="1"/>
          <c:tx>
            <c:strRef>
              <c:f>Pivots!$H$30</c:f>
              <c:strCache>
                <c:ptCount val="1"/>
                <c:pt idx="0">
                  <c:v>sel calls</c:v>
                </c:pt>
              </c:strCache>
            </c:strRef>
          </c:tx>
          <c:spPr>
            <a:gradFill>
              <a:gsLst>
                <a:gs pos="30000">
                  <a:srgbClr val="8A3CC4">
                    <a:lumMod val="99000"/>
                  </a:srgbClr>
                </a:gs>
                <a:gs pos="100000">
                  <a:srgbClr val="8A3CC4">
                    <a:alpha val="50000"/>
                  </a:srgbClr>
                </a:gs>
              </a:gsLst>
              <a:lin ang="5400000" scaled="1"/>
            </a:gradFill>
            <a:ln>
              <a:noFill/>
            </a:ln>
            <a:effectLst/>
          </c:spPr>
          <c:invertIfNegative val="0"/>
          <c:val>
            <c:numRef>
              <c:f>Pivots!$H$31:$H$35</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E8EC-49AA-AF85-B0A4E5FA5B23}"/>
            </c:ext>
          </c:extLst>
        </c:ser>
        <c:dLbls>
          <c:showLegendKey val="0"/>
          <c:showVal val="0"/>
          <c:showCatName val="0"/>
          <c:showSerName val="0"/>
          <c:showPercent val="0"/>
          <c:showBubbleSize val="0"/>
        </c:dLbls>
        <c:gapWidth val="25"/>
        <c:overlap val="100"/>
        <c:axId val="1741133264"/>
        <c:axId val="1741133744"/>
      </c:barChart>
      <c:catAx>
        <c:axId val="174113326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133744"/>
        <c:crosses val="autoZero"/>
        <c:auto val="1"/>
        <c:lblAlgn val="ctr"/>
        <c:lblOffset val="100"/>
        <c:noMultiLvlLbl val="0"/>
      </c:catAx>
      <c:valAx>
        <c:axId val="1741133744"/>
        <c:scaling>
          <c:orientation val="minMax"/>
          <c:min val="0"/>
        </c:scaling>
        <c:delete val="1"/>
        <c:axPos val="t"/>
        <c:numFmt formatCode="General" sourceLinked="1"/>
        <c:majorTickMark val="none"/>
        <c:minorTickMark val="none"/>
        <c:tickLblPos val="nextTo"/>
        <c:crossAx val="174113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rgbClr val="8A3CC4"/>
                </a:solidFill>
                <a:latin typeface="+mj-lt"/>
                <a:ea typeface="+mn-ea"/>
                <a:cs typeface="+mn-cs"/>
              </a:defRPr>
            </a:pPr>
            <a:r>
              <a:rPr lang="en-IN">
                <a:solidFill>
                  <a:srgbClr val="8A3CC4"/>
                </a:solidFill>
                <a:latin typeface="+mj-lt"/>
              </a:rPr>
              <a:t>Amount</a:t>
            </a:r>
          </a:p>
        </c:rich>
      </c:tx>
      <c:layout>
        <c:manualLayout>
          <c:xMode val="edge"/>
          <c:yMode val="edge"/>
          <c:x val="4.3437851195408557E-2"/>
          <c:y val="2.46913580246913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8A3CC4"/>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Pivots!$E$31:$E$35</c:f>
              <c:strCache>
                <c:ptCount val="5"/>
                <c:pt idx="0">
                  <c:v>R01</c:v>
                </c:pt>
                <c:pt idx="1">
                  <c:v>R02</c:v>
                </c:pt>
                <c:pt idx="2">
                  <c:v>R03</c:v>
                </c:pt>
                <c:pt idx="3">
                  <c:v>R04</c:v>
                </c:pt>
                <c:pt idx="4">
                  <c:v>R05</c:v>
                </c:pt>
              </c:strCache>
            </c:strRef>
          </c:cat>
          <c:val>
            <c:numRef>
              <c:f>Pivots!$G$31:$G$35</c:f>
              <c:numCache>
                <c:formatCode>"₹"\ #,###.0,\k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1783-4BE7-BFEF-BBA7E78197F5}"/>
            </c:ext>
          </c:extLst>
        </c:ser>
        <c:ser>
          <c:idx val="1"/>
          <c:order val="1"/>
          <c:tx>
            <c:strRef>
              <c:f>Pivots!$I$30</c:f>
              <c:strCache>
                <c:ptCount val="1"/>
                <c:pt idx="0">
                  <c:v>sel amount</c:v>
                </c:pt>
              </c:strCache>
            </c:strRef>
          </c:tx>
          <c:spPr>
            <a:gradFill>
              <a:gsLst>
                <a:gs pos="34000">
                  <a:srgbClr val="8A3CC4">
                    <a:lumMod val="99000"/>
                  </a:srgbClr>
                </a:gs>
                <a:gs pos="59000">
                  <a:srgbClr val="8A3CC4">
                    <a:alpha val="50000"/>
                  </a:srgbClr>
                </a:gs>
              </a:gsLst>
              <a:lin ang="5400000" scaled="1"/>
            </a:gradFill>
            <a:ln>
              <a:noFill/>
            </a:ln>
            <a:effectLst/>
          </c:spPr>
          <c:invertIfNegative val="0"/>
          <c:dLbls>
            <c:delete val="1"/>
          </c:dLbls>
          <c:val>
            <c:numRef>
              <c:f>Pivots!$I$31:$I$35</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1783-4BE7-BFEF-BBA7E78197F5}"/>
            </c:ext>
          </c:extLst>
        </c:ser>
        <c:dLbls>
          <c:dLblPos val="outEnd"/>
          <c:showLegendKey val="0"/>
          <c:showVal val="1"/>
          <c:showCatName val="0"/>
          <c:showSerName val="0"/>
          <c:showPercent val="0"/>
          <c:showBubbleSize val="0"/>
        </c:dLbls>
        <c:gapWidth val="25"/>
        <c:overlap val="100"/>
        <c:axId val="1741133264"/>
        <c:axId val="1741133744"/>
      </c:barChart>
      <c:catAx>
        <c:axId val="174113326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133744"/>
        <c:crosses val="autoZero"/>
        <c:auto val="1"/>
        <c:lblAlgn val="ctr"/>
        <c:lblOffset val="100"/>
        <c:noMultiLvlLbl val="0"/>
      </c:catAx>
      <c:valAx>
        <c:axId val="1741133744"/>
        <c:scaling>
          <c:orientation val="minMax"/>
        </c:scaling>
        <c:delete val="1"/>
        <c:axPos val="t"/>
        <c:numFmt formatCode="&quot;₹&quot;\ #,###.0,\k" sourceLinked="1"/>
        <c:majorTickMark val="none"/>
        <c:minorTickMark val="none"/>
        <c:tickLblPos val="nextTo"/>
        <c:crossAx val="174113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 Portfolio Project.xlsx]Pivots!PivotTable9</c:name>
    <c:fmtId val="5"/>
  </c:pivotSource>
  <c:chart>
    <c:title>
      <c:tx>
        <c:rich>
          <a:bodyPr rot="0" spcFirstLastPara="1" vertOverflow="ellipsis" vert="horz" wrap="square" anchor="ctr" anchorCtr="1"/>
          <a:lstStyle/>
          <a:p>
            <a:pPr>
              <a:defRPr sz="1400" b="0" i="0" u="none" strike="noStrike" kern="1200" spc="0" baseline="0">
                <a:solidFill>
                  <a:srgbClr val="8A3CC4"/>
                </a:solidFill>
                <a:latin typeface="+mj-lt"/>
                <a:ea typeface="+mn-ea"/>
                <a:cs typeface="+mn-cs"/>
              </a:defRPr>
            </a:pPr>
            <a:r>
              <a:rPr lang="en-IN">
                <a:solidFill>
                  <a:srgbClr val="8A3CC4"/>
                </a:solidFill>
                <a:latin typeface="+mj-lt"/>
              </a:rPr>
              <a:t>Female</a:t>
            </a:r>
            <a:r>
              <a:rPr lang="en-IN" baseline="0">
                <a:solidFill>
                  <a:srgbClr val="8A3CC4"/>
                </a:solidFill>
                <a:latin typeface="+mj-lt"/>
              </a:rPr>
              <a:t> vs Male Callers</a:t>
            </a:r>
            <a:endParaRPr lang="en-IN">
              <a:solidFill>
                <a:srgbClr val="8A3CC4"/>
              </a:solidFill>
              <a:latin typeface="+mj-lt"/>
            </a:endParaRPr>
          </a:p>
        </c:rich>
      </c:tx>
      <c:layout>
        <c:manualLayout>
          <c:xMode val="edge"/>
          <c:yMode val="edge"/>
          <c:x val="5.6005538248528886E-2"/>
          <c:y val="3.43749975833100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8A3CC4"/>
              </a:solidFill>
              <a:latin typeface="+mj-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A3C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Pivots!$I$4:$I$5</c:f>
              <c:strCache>
                <c:ptCount val="1"/>
                <c:pt idx="0">
                  <c:v>Female</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Pivots!$H$6:$H$9</c:f>
              <c:strCache>
                <c:ptCount val="3"/>
                <c:pt idx="0">
                  <c:v>Cincinnati</c:v>
                </c:pt>
                <c:pt idx="1">
                  <c:v>Cleveland</c:v>
                </c:pt>
                <c:pt idx="2">
                  <c:v>Columbus</c:v>
                </c:pt>
              </c:strCache>
            </c:strRef>
          </c:cat>
          <c:val>
            <c:numRef>
              <c:f>Pivots!$I$6:$I$9</c:f>
              <c:numCache>
                <c:formatCode>#,##0</c:formatCode>
                <c:ptCount val="3"/>
                <c:pt idx="0">
                  <c:v>144</c:v>
                </c:pt>
                <c:pt idx="1">
                  <c:v>326</c:v>
                </c:pt>
                <c:pt idx="2">
                  <c:v>129</c:v>
                </c:pt>
              </c:numCache>
            </c:numRef>
          </c:val>
          <c:extLst>
            <c:ext xmlns:c16="http://schemas.microsoft.com/office/drawing/2014/chart" uri="{C3380CC4-5D6E-409C-BE32-E72D297353CC}">
              <c16:uniqueId val="{00000000-4D23-47AB-A850-DA12F102AAE6}"/>
            </c:ext>
          </c:extLst>
        </c:ser>
        <c:ser>
          <c:idx val="1"/>
          <c:order val="1"/>
          <c:tx>
            <c:strRef>
              <c:f>Pivots!$J$4:$J$5</c:f>
              <c:strCache>
                <c:ptCount val="1"/>
                <c:pt idx="0">
                  <c:v>Male</c:v>
                </c:pt>
              </c:strCache>
            </c:strRef>
          </c:tx>
          <c:spPr>
            <a:solidFill>
              <a:srgbClr val="8A3C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Pivots!$H$6:$H$9</c:f>
              <c:strCache>
                <c:ptCount val="3"/>
                <c:pt idx="0">
                  <c:v>Cincinnati</c:v>
                </c:pt>
                <c:pt idx="1">
                  <c:v>Cleveland</c:v>
                </c:pt>
                <c:pt idx="2">
                  <c:v>Columbus</c:v>
                </c:pt>
              </c:strCache>
            </c:strRef>
          </c:cat>
          <c:val>
            <c:numRef>
              <c:f>Pivots!$J$6:$J$9</c:f>
              <c:numCache>
                <c:formatCode>#,##0</c:formatCode>
                <c:ptCount val="3"/>
                <c:pt idx="0">
                  <c:v>132</c:v>
                </c:pt>
                <c:pt idx="1">
                  <c:v>63</c:v>
                </c:pt>
                <c:pt idx="2">
                  <c:v>206</c:v>
                </c:pt>
              </c:numCache>
            </c:numRef>
          </c:val>
          <c:extLst>
            <c:ext xmlns:c16="http://schemas.microsoft.com/office/drawing/2014/chart" uri="{C3380CC4-5D6E-409C-BE32-E72D297353CC}">
              <c16:uniqueId val="{00000001-4D23-47AB-A850-DA12F102AAE6}"/>
            </c:ext>
          </c:extLst>
        </c:ser>
        <c:dLbls>
          <c:showLegendKey val="0"/>
          <c:showVal val="0"/>
          <c:showCatName val="0"/>
          <c:showSerName val="0"/>
          <c:showPercent val="0"/>
          <c:showBubbleSize val="0"/>
        </c:dLbls>
        <c:gapWidth val="25"/>
        <c:overlap val="100"/>
        <c:axId val="1544347648"/>
        <c:axId val="427575888"/>
      </c:barChart>
      <c:catAx>
        <c:axId val="1544347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575888"/>
        <c:crosses val="autoZero"/>
        <c:auto val="1"/>
        <c:lblAlgn val="ctr"/>
        <c:lblOffset val="100"/>
        <c:noMultiLvlLbl val="0"/>
      </c:catAx>
      <c:valAx>
        <c:axId val="427575888"/>
        <c:scaling>
          <c:orientation val="minMax"/>
        </c:scaling>
        <c:delete val="1"/>
        <c:axPos val="l"/>
        <c:numFmt formatCode="0%" sourceLinked="1"/>
        <c:majorTickMark val="none"/>
        <c:minorTickMark val="none"/>
        <c:tickLblPos val="nextTo"/>
        <c:crossAx val="15443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 Portfolio Project.xlsx]Pivots!PivotTable10</c:name>
    <c:fmtId val="12"/>
  </c:pivotSource>
  <c:chart>
    <c:title>
      <c:tx>
        <c:rich>
          <a:bodyPr rot="0" spcFirstLastPara="1" vertOverflow="ellipsis" vert="horz" wrap="square" anchor="ctr" anchorCtr="1"/>
          <a:lstStyle/>
          <a:p>
            <a:pPr>
              <a:defRPr sz="1400" b="0" i="0" u="none" strike="noStrike" kern="1200" spc="0" baseline="0">
                <a:solidFill>
                  <a:srgbClr val="8A3CC4"/>
                </a:solidFill>
                <a:latin typeface="+mj-lt"/>
                <a:ea typeface="+mn-ea"/>
                <a:cs typeface="+mn-cs"/>
              </a:defRPr>
            </a:pPr>
            <a:r>
              <a:rPr lang="en-US">
                <a:solidFill>
                  <a:srgbClr val="8A3CC4"/>
                </a:solidFill>
                <a:latin typeface="+mj-lt"/>
              </a:rPr>
              <a:t>Rating</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rgbClr val="8A3CC4"/>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Pivots!$I$13</c:f>
              <c:strCache>
                <c:ptCount val="1"/>
                <c:pt idx="0">
                  <c:v>Total</c:v>
                </c:pt>
              </c:strCache>
            </c:strRef>
          </c:tx>
          <c:spPr>
            <a:solidFill>
              <a:srgbClr val="7030A0"/>
            </a:solidFill>
            <a:ln>
              <a:noFill/>
            </a:ln>
            <a:effectLst/>
          </c:spPr>
          <c:invertIfNegative val="0"/>
          <c:cat>
            <c:strRef>
              <c:f>Pivots!$H$14:$H$19</c:f>
              <c:strCache>
                <c:ptCount val="5"/>
                <c:pt idx="0">
                  <c:v>1</c:v>
                </c:pt>
                <c:pt idx="1">
                  <c:v>2</c:v>
                </c:pt>
                <c:pt idx="2">
                  <c:v>3</c:v>
                </c:pt>
                <c:pt idx="3">
                  <c:v>4</c:v>
                </c:pt>
                <c:pt idx="4">
                  <c:v>5</c:v>
                </c:pt>
              </c:strCache>
            </c:strRef>
          </c:cat>
          <c:val>
            <c:numRef>
              <c:f>Pivots!$I$14:$I$19</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4606-4976-A362-DCCC84043029}"/>
            </c:ext>
          </c:extLst>
        </c:ser>
        <c:dLbls>
          <c:showLegendKey val="0"/>
          <c:showVal val="0"/>
          <c:showCatName val="0"/>
          <c:showSerName val="0"/>
          <c:showPercent val="0"/>
          <c:showBubbleSize val="0"/>
        </c:dLbls>
        <c:gapWidth val="25"/>
        <c:overlap val="-27"/>
        <c:axId val="1860542320"/>
        <c:axId val="1860543280"/>
      </c:barChart>
      <c:catAx>
        <c:axId val="186054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543280"/>
        <c:crosses val="autoZero"/>
        <c:auto val="1"/>
        <c:lblAlgn val="ctr"/>
        <c:lblOffset val="100"/>
        <c:noMultiLvlLbl val="0"/>
      </c:catAx>
      <c:valAx>
        <c:axId val="18605432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54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20.svg"/><Relationship Id="rId13" Type="http://schemas.openxmlformats.org/officeDocument/2006/relationships/chart" Target="../charts/chart3.xml"/><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chart" Target="../charts/chart2.xml"/><Relationship Id="rId2" Type="http://schemas.openxmlformats.org/officeDocument/2006/relationships/image" Target="../media/image14.svg"/><Relationship Id="rId16" Type="http://schemas.openxmlformats.org/officeDocument/2006/relationships/chart" Target="../charts/chart6.xml"/><Relationship Id="rId1" Type="http://schemas.openxmlformats.org/officeDocument/2006/relationships/image" Target="../media/image13.png"/><Relationship Id="rId6" Type="http://schemas.openxmlformats.org/officeDocument/2006/relationships/image" Target="../media/image18.svg"/><Relationship Id="rId11" Type="http://schemas.openxmlformats.org/officeDocument/2006/relationships/chart" Target="../charts/chart1.xml"/><Relationship Id="rId5" Type="http://schemas.openxmlformats.org/officeDocument/2006/relationships/image" Target="../media/image17.png"/><Relationship Id="rId15" Type="http://schemas.openxmlformats.org/officeDocument/2006/relationships/chart" Target="../charts/chart5.xml"/><Relationship Id="rId10" Type="http://schemas.openxmlformats.org/officeDocument/2006/relationships/image" Target="../media/image22.svg"/><Relationship Id="rId4" Type="http://schemas.openxmlformats.org/officeDocument/2006/relationships/image" Target="../media/image16.svg"/><Relationship Id="rId9" Type="http://schemas.openxmlformats.org/officeDocument/2006/relationships/image" Target="../media/image21.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350520</xdr:colOff>
      <xdr:row>22</xdr:row>
      <xdr:rowOff>61191</xdr:rowOff>
    </xdr:from>
    <xdr:to>
      <xdr:col>11</xdr:col>
      <xdr:colOff>525780</xdr:colOff>
      <xdr:row>39</xdr:row>
      <xdr:rowOff>30711</xdr:rowOff>
    </xdr:to>
    <xdr:sp macro="" textlink="">
      <xdr:nvSpPr>
        <xdr:cNvPr id="4" name="Rectangle 3">
          <a:extLst>
            <a:ext uri="{FF2B5EF4-FFF2-40B4-BE49-F238E27FC236}">
              <a16:creationId xmlns:a16="http://schemas.microsoft.com/office/drawing/2014/main" id="{95E0F7D2-0BFC-6ABB-9B3E-B69F95B1C9F6}"/>
            </a:ext>
          </a:extLst>
        </xdr:cNvPr>
        <xdr:cNvSpPr/>
      </xdr:nvSpPr>
      <xdr:spPr>
        <a:xfrm>
          <a:off x="2336338" y="4125191"/>
          <a:ext cx="4862715" cy="310988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3</xdr:row>
      <xdr:rowOff>0</xdr:rowOff>
    </xdr:from>
    <xdr:to>
      <xdr:col>3</xdr:col>
      <xdr:colOff>647700</xdr:colOff>
      <xdr:row>9</xdr:row>
      <xdr:rowOff>0</xdr:rowOff>
    </xdr:to>
    <xdr:sp macro="" textlink="Pivots!A4">
      <xdr:nvSpPr>
        <xdr:cNvPr id="2" name="Rectangle 1">
          <a:extLst>
            <a:ext uri="{FF2B5EF4-FFF2-40B4-BE49-F238E27FC236}">
              <a16:creationId xmlns:a16="http://schemas.microsoft.com/office/drawing/2014/main" id="{6D4F7524-297E-BEEF-9957-3B9F6C941BFA}"/>
            </a:ext>
          </a:extLst>
        </xdr:cNvPr>
        <xdr:cNvSpPr/>
      </xdr:nvSpPr>
      <xdr:spPr>
        <a:xfrm>
          <a:off x="327660" y="548640"/>
          <a:ext cx="1638300" cy="1097280"/>
        </a:xfrm>
        <a:prstGeom prst="rect">
          <a:avLst/>
        </a:prstGeom>
        <a:solidFill>
          <a:srgbClr val="8A3CC4"/>
        </a:solidFill>
        <a:ln>
          <a:solidFill>
            <a:srgbClr val="8A3CC4"/>
          </a:solidFill>
        </a:ln>
        <a:effectLst>
          <a:outerShdw blurRad="254000" dist="1270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FCAC1D8-E8FC-412E-939E-A8573656DBF5}" type="TxLink">
            <a:rPr lang="en-US" sz="3600" b="0" i="0" u="none" strike="noStrike">
              <a:solidFill>
                <a:schemeClr val="bg1"/>
              </a:solidFill>
              <a:latin typeface="+mj-lt"/>
            </a:rPr>
            <a:pPr algn="ctr"/>
            <a:t>1,000</a:t>
          </a:fld>
          <a:endParaRPr lang="en-IN" sz="3600">
            <a:solidFill>
              <a:schemeClr val="bg1"/>
            </a:solidFill>
            <a:latin typeface="+mj-lt"/>
          </a:endParaRPr>
        </a:p>
      </xdr:txBody>
    </xdr:sp>
    <xdr:clientData/>
  </xdr:twoCellAnchor>
  <xdr:twoCellAnchor>
    <xdr:from>
      <xdr:col>1</xdr:col>
      <xdr:colOff>243840</xdr:colOff>
      <xdr:row>3</xdr:row>
      <xdr:rowOff>0</xdr:rowOff>
    </xdr:from>
    <xdr:to>
      <xdr:col>3</xdr:col>
      <xdr:colOff>434340</xdr:colOff>
      <xdr:row>4</xdr:row>
      <xdr:rowOff>114300</xdr:rowOff>
    </xdr:to>
    <xdr:sp macro="" textlink="">
      <xdr:nvSpPr>
        <xdr:cNvPr id="3" name="TextBox 2">
          <a:extLst>
            <a:ext uri="{FF2B5EF4-FFF2-40B4-BE49-F238E27FC236}">
              <a16:creationId xmlns:a16="http://schemas.microsoft.com/office/drawing/2014/main" id="{A81DE157-5494-2AB6-3236-762F99C43E96}"/>
            </a:ext>
          </a:extLst>
        </xdr:cNvPr>
        <xdr:cNvSpPr txBox="1"/>
      </xdr:nvSpPr>
      <xdr:spPr>
        <a:xfrm>
          <a:off x="571500" y="548640"/>
          <a:ext cx="11811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n>
                <a:noFill/>
              </a:ln>
              <a:solidFill>
                <a:schemeClr val="bg1"/>
              </a:solidFill>
            </a:rPr>
            <a:t>Calls</a:t>
          </a:r>
        </a:p>
      </xdr:txBody>
    </xdr:sp>
    <xdr:clientData/>
  </xdr:twoCellAnchor>
  <xdr:twoCellAnchor editAs="oneCell">
    <xdr:from>
      <xdr:col>1</xdr:col>
      <xdr:colOff>53341</xdr:colOff>
      <xdr:row>3</xdr:row>
      <xdr:rowOff>53342</xdr:rowOff>
    </xdr:from>
    <xdr:to>
      <xdr:col>1</xdr:col>
      <xdr:colOff>251460</xdr:colOff>
      <xdr:row>4</xdr:row>
      <xdr:rowOff>63774</xdr:rowOff>
    </xdr:to>
    <xdr:pic>
      <xdr:nvPicPr>
        <xdr:cNvPr id="5" name="Graphic 4" descr="Receiver with solid fill">
          <a:extLst>
            <a:ext uri="{FF2B5EF4-FFF2-40B4-BE49-F238E27FC236}">
              <a16:creationId xmlns:a16="http://schemas.microsoft.com/office/drawing/2014/main" id="{F0515BEA-BDC3-49CB-AC89-DB452CA255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1001" y="601982"/>
          <a:ext cx="198119" cy="193312"/>
        </a:xfrm>
        <a:prstGeom prst="rect">
          <a:avLst/>
        </a:prstGeom>
      </xdr:spPr>
    </xdr:pic>
    <xdr:clientData/>
  </xdr:twoCellAnchor>
  <xdr:twoCellAnchor>
    <xdr:from>
      <xdr:col>2</xdr:col>
      <xdr:colOff>22860</xdr:colOff>
      <xdr:row>7</xdr:row>
      <xdr:rowOff>68580</xdr:rowOff>
    </xdr:from>
    <xdr:to>
      <xdr:col>3</xdr:col>
      <xdr:colOff>312420</xdr:colOff>
      <xdr:row>8</xdr:row>
      <xdr:rowOff>160020</xdr:rowOff>
    </xdr:to>
    <xdr:sp macro="" textlink="Pivots!A11">
      <xdr:nvSpPr>
        <xdr:cNvPr id="6" name="TextBox 5">
          <a:extLst>
            <a:ext uri="{FF2B5EF4-FFF2-40B4-BE49-F238E27FC236}">
              <a16:creationId xmlns:a16="http://schemas.microsoft.com/office/drawing/2014/main" id="{802C79D6-E5F6-9A23-2490-42AF3AAA62D9}"/>
            </a:ext>
          </a:extLst>
        </xdr:cNvPr>
        <xdr:cNvSpPr txBox="1"/>
      </xdr:nvSpPr>
      <xdr:spPr>
        <a:xfrm>
          <a:off x="670560" y="1348740"/>
          <a:ext cx="9601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FFE8AD-3AF4-466E-84E9-F80975BBD15E}" type="TxLink">
            <a:rPr lang="en-US" sz="1100" b="0" i="0" u="none" strike="noStrike">
              <a:solidFill>
                <a:schemeClr val="bg1"/>
              </a:solidFill>
              <a:latin typeface="Aptos"/>
            </a:rPr>
            <a:pPr algn="ctr"/>
            <a:t>189</a:t>
          </a:fld>
          <a:endParaRPr lang="en-IN" sz="1100">
            <a:solidFill>
              <a:schemeClr val="bg1"/>
            </a:solidFill>
          </a:endParaRPr>
        </a:p>
      </xdr:txBody>
    </xdr:sp>
    <xdr:clientData/>
  </xdr:twoCellAnchor>
  <xdr:twoCellAnchor>
    <xdr:from>
      <xdr:col>1</xdr:col>
      <xdr:colOff>0</xdr:colOff>
      <xdr:row>11</xdr:row>
      <xdr:rowOff>0</xdr:rowOff>
    </xdr:from>
    <xdr:to>
      <xdr:col>3</xdr:col>
      <xdr:colOff>647700</xdr:colOff>
      <xdr:row>17</xdr:row>
      <xdr:rowOff>0</xdr:rowOff>
    </xdr:to>
    <xdr:sp macro="" textlink="Pivots!B4">
      <xdr:nvSpPr>
        <xdr:cNvPr id="7" name="Rectangle 6">
          <a:extLst>
            <a:ext uri="{FF2B5EF4-FFF2-40B4-BE49-F238E27FC236}">
              <a16:creationId xmlns:a16="http://schemas.microsoft.com/office/drawing/2014/main" id="{1D8F8742-56E5-4ADD-85C6-5DB43913E4ED}"/>
            </a:ext>
          </a:extLst>
        </xdr:cNvPr>
        <xdr:cNvSpPr/>
      </xdr:nvSpPr>
      <xdr:spPr>
        <a:xfrm>
          <a:off x="327660" y="2011680"/>
          <a:ext cx="1638300" cy="1097280"/>
        </a:xfrm>
        <a:prstGeom prst="rect">
          <a:avLst/>
        </a:prstGeom>
        <a:solidFill>
          <a:srgbClr val="8A3CC4"/>
        </a:solidFill>
        <a:ln>
          <a:solidFill>
            <a:srgbClr val="8A3CC4"/>
          </a:solidFill>
        </a:ln>
        <a:effectLst>
          <a:outerShdw blurRad="254000" dist="1270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359757A-766D-49B7-9B36-4215D8980009}" type="TxLink">
            <a:rPr lang="en-US" sz="2800" b="0" i="0" u="none" strike="noStrike">
              <a:solidFill>
                <a:schemeClr val="bg1"/>
              </a:solidFill>
              <a:latin typeface="+mj-lt"/>
            </a:rPr>
            <a:pPr algn="ctr"/>
            <a:t>₹ 96,623</a:t>
          </a:fld>
          <a:endParaRPr lang="en-IN" sz="2800">
            <a:solidFill>
              <a:schemeClr val="bg1"/>
            </a:solidFill>
            <a:latin typeface="+mj-lt"/>
          </a:endParaRPr>
        </a:p>
      </xdr:txBody>
    </xdr:sp>
    <xdr:clientData/>
  </xdr:twoCellAnchor>
  <xdr:twoCellAnchor>
    <xdr:from>
      <xdr:col>1</xdr:col>
      <xdr:colOff>243840</xdr:colOff>
      <xdr:row>11</xdr:row>
      <xdr:rowOff>0</xdr:rowOff>
    </xdr:from>
    <xdr:to>
      <xdr:col>3</xdr:col>
      <xdr:colOff>434340</xdr:colOff>
      <xdr:row>12</xdr:row>
      <xdr:rowOff>114300</xdr:rowOff>
    </xdr:to>
    <xdr:sp macro="" textlink="">
      <xdr:nvSpPr>
        <xdr:cNvPr id="8" name="TextBox 7">
          <a:extLst>
            <a:ext uri="{FF2B5EF4-FFF2-40B4-BE49-F238E27FC236}">
              <a16:creationId xmlns:a16="http://schemas.microsoft.com/office/drawing/2014/main" id="{F7DE9B56-3F87-438E-BC30-F18A26352080}"/>
            </a:ext>
          </a:extLst>
        </xdr:cNvPr>
        <xdr:cNvSpPr txBox="1"/>
      </xdr:nvSpPr>
      <xdr:spPr>
        <a:xfrm>
          <a:off x="571500" y="2011680"/>
          <a:ext cx="11811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n>
                <a:noFill/>
              </a:ln>
              <a:solidFill>
                <a:schemeClr val="bg1"/>
              </a:solidFill>
            </a:rPr>
            <a:t>Amount</a:t>
          </a:r>
        </a:p>
      </xdr:txBody>
    </xdr:sp>
    <xdr:clientData/>
  </xdr:twoCellAnchor>
  <xdr:twoCellAnchor editAs="oneCell">
    <xdr:from>
      <xdr:col>1</xdr:col>
      <xdr:colOff>55744</xdr:colOff>
      <xdr:row>11</xdr:row>
      <xdr:rowOff>53342</xdr:rowOff>
    </xdr:from>
    <xdr:to>
      <xdr:col>1</xdr:col>
      <xdr:colOff>249056</xdr:colOff>
      <xdr:row>12</xdr:row>
      <xdr:rowOff>63774</xdr:rowOff>
    </xdr:to>
    <xdr:pic>
      <xdr:nvPicPr>
        <xdr:cNvPr id="9" name="Graphic 8">
          <a:extLst>
            <a:ext uri="{FF2B5EF4-FFF2-40B4-BE49-F238E27FC236}">
              <a16:creationId xmlns:a16="http://schemas.microsoft.com/office/drawing/2014/main" id="{653C01AB-E489-4316-872B-F98D4C151BF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383404" y="2065022"/>
          <a:ext cx="193312" cy="193312"/>
        </a:xfrm>
        <a:prstGeom prst="rect">
          <a:avLst/>
        </a:prstGeom>
      </xdr:spPr>
    </xdr:pic>
    <xdr:clientData/>
  </xdr:twoCellAnchor>
  <xdr:twoCellAnchor>
    <xdr:from>
      <xdr:col>2</xdr:col>
      <xdr:colOff>22860</xdr:colOff>
      <xdr:row>15</xdr:row>
      <xdr:rowOff>68580</xdr:rowOff>
    </xdr:from>
    <xdr:to>
      <xdr:col>3</xdr:col>
      <xdr:colOff>312420</xdr:colOff>
      <xdr:row>16</xdr:row>
      <xdr:rowOff>160020</xdr:rowOff>
    </xdr:to>
    <xdr:sp macro="" textlink="Pivots!B11">
      <xdr:nvSpPr>
        <xdr:cNvPr id="10" name="TextBox 9">
          <a:extLst>
            <a:ext uri="{FF2B5EF4-FFF2-40B4-BE49-F238E27FC236}">
              <a16:creationId xmlns:a16="http://schemas.microsoft.com/office/drawing/2014/main" id="{4B823CCB-3F1B-4BDD-A7CB-F99B896A6DF8}"/>
            </a:ext>
          </a:extLst>
        </xdr:cNvPr>
        <xdr:cNvSpPr txBox="1"/>
      </xdr:nvSpPr>
      <xdr:spPr>
        <a:xfrm>
          <a:off x="670560" y="2811780"/>
          <a:ext cx="9601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38ED27-8630-4150-80AC-F47F6233D258}" type="TxLink">
            <a:rPr lang="en-US" sz="1100" b="0" i="0" u="none" strike="noStrike">
              <a:solidFill>
                <a:schemeClr val="bg1"/>
              </a:solidFill>
              <a:latin typeface="Aptos"/>
            </a:rPr>
            <a:pPr algn="ctr"/>
            <a:t>₹ 18,415</a:t>
          </a:fld>
          <a:endParaRPr lang="en-IN" sz="1100">
            <a:solidFill>
              <a:schemeClr val="bg1"/>
            </a:solidFill>
          </a:endParaRPr>
        </a:p>
      </xdr:txBody>
    </xdr:sp>
    <xdr:clientData/>
  </xdr:twoCellAnchor>
  <xdr:twoCellAnchor>
    <xdr:from>
      <xdr:col>0</xdr:col>
      <xdr:colOff>320040</xdr:colOff>
      <xdr:row>19</xdr:row>
      <xdr:rowOff>38100</xdr:rowOff>
    </xdr:from>
    <xdr:to>
      <xdr:col>3</xdr:col>
      <xdr:colOff>640080</xdr:colOff>
      <xdr:row>25</xdr:row>
      <xdr:rowOff>38100</xdr:rowOff>
    </xdr:to>
    <xdr:sp macro="" textlink="Pivots!C4">
      <xdr:nvSpPr>
        <xdr:cNvPr id="15" name="Rectangle 14">
          <a:extLst>
            <a:ext uri="{FF2B5EF4-FFF2-40B4-BE49-F238E27FC236}">
              <a16:creationId xmlns:a16="http://schemas.microsoft.com/office/drawing/2014/main" id="{84BF1FB9-3CC0-4105-979E-C3469151D37A}"/>
            </a:ext>
          </a:extLst>
        </xdr:cNvPr>
        <xdr:cNvSpPr/>
      </xdr:nvSpPr>
      <xdr:spPr>
        <a:xfrm>
          <a:off x="320040" y="3512820"/>
          <a:ext cx="1638300" cy="1097280"/>
        </a:xfrm>
        <a:prstGeom prst="rect">
          <a:avLst/>
        </a:prstGeom>
        <a:solidFill>
          <a:srgbClr val="8A3CC4"/>
        </a:solidFill>
        <a:ln>
          <a:solidFill>
            <a:srgbClr val="8A3CC4"/>
          </a:solidFill>
        </a:ln>
        <a:effectLst>
          <a:outerShdw blurRad="254000" dist="1270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3F8C667-757E-47EF-BF44-C34E98690C66}" type="TxLink">
            <a:rPr lang="en-US" sz="3200" b="0" i="0" u="none" strike="noStrike">
              <a:solidFill>
                <a:schemeClr val="bg1"/>
              </a:solidFill>
              <a:latin typeface="+mj-lt"/>
            </a:rPr>
            <a:pPr algn="ctr"/>
            <a:t>89,850</a:t>
          </a:fld>
          <a:endParaRPr lang="en-IN" sz="3200">
            <a:solidFill>
              <a:schemeClr val="bg1"/>
            </a:solidFill>
            <a:latin typeface="+mj-lt"/>
          </a:endParaRPr>
        </a:p>
      </xdr:txBody>
    </xdr:sp>
    <xdr:clientData/>
  </xdr:twoCellAnchor>
  <xdr:twoCellAnchor>
    <xdr:from>
      <xdr:col>1</xdr:col>
      <xdr:colOff>236220</xdr:colOff>
      <xdr:row>19</xdr:row>
      <xdr:rowOff>38100</xdr:rowOff>
    </xdr:from>
    <xdr:to>
      <xdr:col>3</xdr:col>
      <xdr:colOff>426720</xdr:colOff>
      <xdr:row>20</xdr:row>
      <xdr:rowOff>152400</xdr:rowOff>
    </xdr:to>
    <xdr:sp macro="" textlink="">
      <xdr:nvSpPr>
        <xdr:cNvPr id="16" name="TextBox 15">
          <a:extLst>
            <a:ext uri="{FF2B5EF4-FFF2-40B4-BE49-F238E27FC236}">
              <a16:creationId xmlns:a16="http://schemas.microsoft.com/office/drawing/2014/main" id="{207BB3C4-4FAB-4F5A-97CC-CCED32EBF66E}"/>
            </a:ext>
          </a:extLst>
        </xdr:cNvPr>
        <xdr:cNvSpPr txBox="1"/>
      </xdr:nvSpPr>
      <xdr:spPr>
        <a:xfrm>
          <a:off x="563880" y="3512820"/>
          <a:ext cx="11811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n>
                <a:noFill/>
              </a:ln>
              <a:solidFill>
                <a:schemeClr val="bg1"/>
              </a:solidFill>
            </a:rPr>
            <a:t>Duration</a:t>
          </a:r>
        </a:p>
      </xdr:txBody>
    </xdr:sp>
    <xdr:clientData/>
  </xdr:twoCellAnchor>
  <xdr:twoCellAnchor editAs="oneCell">
    <xdr:from>
      <xdr:col>1</xdr:col>
      <xdr:colOff>48124</xdr:colOff>
      <xdr:row>19</xdr:row>
      <xdr:rowOff>91442</xdr:rowOff>
    </xdr:from>
    <xdr:to>
      <xdr:col>1</xdr:col>
      <xdr:colOff>241436</xdr:colOff>
      <xdr:row>20</xdr:row>
      <xdr:rowOff>101874</xdr:rowOff>
    </xdr:to>
    <xdr:pic>
      <xdr:nvPicPr>
        <xdr:cNvPr id="17" name="Graphic 16">
          <a:extLst>
            <a:ext uri="{FF2B5EF4-FFF2-40B4-BE49-F238E27FC236}">
              <a16:creationId xmlns:a16="http://schemas.microsoft.com/office/drawing/2014/main" id="{1705325F-62C4-4F60-8B1D-206C7A43C8F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75784" y="3566162"/>
          <a:ext cx="193312" cy="193312"/>
        </a:xfrm>
        <a:prstGeom prst="rect">
          <a:avLst/>
        </a:prstGeom>
      </xdr:spPr>
    </xdr:pic>
    <xdr:clientData/>
  </xdr:twoCellAnchor>
  <xdr:twoCellAnchor>
    <xdr:from>
      <xdr:col>2</xdr:col>
      <xdr:colOff>15240</xdr:colOff>
      <xdr:row>23</xdr:row>
      <xdr:rowOff>106680</xdr:rowOff>
    </xdr:from>
    <xdr:to>
      <xdr:col>3</xdr:col>
      <xdr:colOff>304800</xdr:colOff>
      <xdr:row>25</xdr:row>
      <xdr:rowOff>15240</xdr:rowOff>
    </xdr:to>
    <xdr:sp macro="" textlink="Pivots!C11">
      <xdr:nvSpPr>
        <xdr:cNvPr id="18" name="TextBox 17">
          <a:extLst>
            <a:ext uri="{FF2B5EF4-FFF2-40B4-BE49-F238E27FC236}">
              <a16:creationId xmlns:a16="http://schemas.microsoft.com/office/drawing/2014/main" id="{8317677D-9169-4E29-83C9-1C208D6CF14D}"/>
            </a:ext>
          </a:extLst>
        </xdr:cNvPr>
        <xdr:cNvSpPr txBox="1"/>
      </xdr:nvSpPr>
      <xdr:spPr>
        <a:xfrm>
          <a:off x="662940" y="4312920"/>
          <a:ext cx="9601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B85FFB-366A-4C1A-B4CF-5EBCA08F7E01}" type="TxLink">
            <a:rPr lang="en-US" sz="1100" b="0" i="0" u="none" strike="noStrike">
              <a:solidFill>
                <a:schemeClr val="bg1"/>
              </a:solidFill>
              <a:latin typeface="Aptos"/>
            </a:rPr>
            <a:pPr algn="ctr"/>
            <a:t>16,834</a:t>
          </a:fld>
          <a:endParaRPr lang="en-IN" sz="1100">
            <a:solidFill>
              <a:schemeClr val="bg1"/>
            </a:solidFill>
          </a:endParaRPr>
        </a:p>
      </xdr:txBody>
    </xdr:sp>
    <xdr:clientData/>
  </xdr:twoCellAnchor>
  <xdr:twoCellAnchor>
    <xdr:from>
      <xdr:col>1</xdr:col>
      <xdr:colOff>0</xdr:colOff>
      <xdr:row>27</xdr:row>
      <xdr:rowOff>91440</xdr:rowOff>
    </xdr:from>
    <xdr:to>
      <xdr:col>3</xdr:col>
      <xdr:colOff>647700</xdr:colOff>
      <xdr:row>33</xdr:row>
      <xdr:rowOff>91440</xdr:rowOff>
    </xdr:to>
    <xdr:sp macro="" textlink="Pivots!D4">
      <xdr:nvSpPr>
        <xdr:cNvPr id="31" name="Rectangle 30">
          <a:extLst>
            <a:ext uri="{FF2B5EF4-FFF2-40B4-BE49-F238E27FC236}">
              <a16:creationId xmlns:a16="http://schemas.microsoft.com/office/drawing/2014/main" id="{F5EBFF91-DB8F-4FB5-AF4F-D2909F33A8C0}"/>
            </a:ext>
          </a:extLst>
        </xdr:cNvPr>
        <xdr:cNvSpPr/>
      </xdr:nvSpPr>
      <xdr:spPr>
        <a:xfrm>
          <a:off x="327660" y="5029200"/>
          <a:ext cx="1638300" cy="1097280"/>
        </a:xfrm>
        <a:prstGeom prst="rect">
          <a:avLst/>
        </a:prstGeom>
        <a:solidFill>
          <a:srgbClr val="8A3CC4"/>
        </a:solidFill>
        <a:ln>
          <a:solidFill>
            <a:srgbClr val="8A3CC4"/>
          </a:solidFill>
        </a:ln>
        <a:effectLst>
          <a:outerShdw blurRad="254000" dist="1270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1DE6827-C27C-4809-928F-30BE58873ECD}" type="TxLink">
            <a:rPr lang="en-US" sz="3600" b="0" i="0" u="none" strike="noStrike">
              <a:solidFill>
                <a:schemeClr val="bg1"/>
              </a:solidFill>
              <a:latin typeface="+mj-lt"/>
            </a:rPr>
            <a:pPr algn="ctr"/>
            <a:t>3.9</a:t>
          </a:fld>
          <a:endParaRPr lang="en-IN" sz="3600">
            <a:solidFill>
              <a:schemeClr val="bg1"/>
            </a:solidFill>
            <a:latin typeface="+mj-lt"/>
          </a:endParaRPr>
        </a:p>
      </xdr:txBody>
    </xdr:sp>
    <xdr:clientData/>
  </xdr:twoCellAnchor>
  <xdr:twoCellAnchor>
    <xdr:from>
      <xdr:col>1</xdr:col>
      <xdr:colOff>243840</xdr:colOff>
      <xdr:row>27</xdr:row>
      <xdr:rowOff>106680</xdr:rowOff>
    </xdr:from>
    <xdr:to>
      <xdr:col>3</xdr:col>
      <xdr:colOff>434340</xdr:colOff>
      <xdr:row>29</xdr:row>
      <xdr:rowOff>38100</xdr:rowOff>
    </xdr:to>
    <xdr:sp macro="" textlink="">
      <xdr:nvSpPr>
        <xdr:cNvPr id="32" name="TextBox 31">
          <a:extLst>
            <a:ext uri="{FF2B5EF4-FFF2-40B4-BE49-F238E27FC236}">
              <a16:creationId xmlns:a16="http://schemas.microsoft.com/office/drawing/2014/main" id="{F09B3205-E0DA-419E-BEFA-BDA996AB9F1A}"/>
            </a:ext>
          </a:extLst>
        </xdr:cNvPr>
        <xdr:cNvSpPr txBox="1"/>
      </xdr:nvSpPr>
      <xdr:spPr>
        <a:xfrm>
          <a:off x="571500" y="5044440"/>
          <a:ext cx="11811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n>
                <a:noFill/>
              </a:ln>
              <a:solidFill>
                <a:schemeClr val="bg1"/>
              </a:solidFill>
            </a:rPr>
            <a:t>Average</a:t>
          </a:r>
          <a:r>
            <a:rPr lang="en-IN" sz="1200" baseline="0">
              <a:ln>
                <a:noFill/>
              </a:ln>
              <a:solidFill>
                <a:schemeClr val="bg1"/>
              </a:solidFill>
            </a:rPr>
            <a:t> Rating</a:t>
          </a:r>
          <a:endParaRPr lang="en-IN" sz="1200">
            <a:ln>
              <a:noFill/>
            </a:ln>
            <a:solidFill>
              <a:schemeClr val="bg1"/>
            </a:solidFill>
          </a:endParaRPr>
        </a:p>
      </xdr:txBody>
    </xdr:sp>
    <xdr:clientData/>
  </xdr:twoCellAnchor>
  <xdr:twoCellAnchor editAs="oneCell">
    <xdr:from>
      <xdr:col>1</xdr:col>
      <xdr:colOff>63364</xdr:colOff>
      <xdr:row>27</xdr:row>
      <xdr:rowOff>144782</xdr:rowOff>
    </xdr:from>
    <xdr:to>
      <xdr:col>1</xdr:col>
      <xdr:colOff>256676</xdr:colOff>
      <xdr:row>28</xdr:row>
      <xdr:rowOff>155214</xdr:rowOff>
    </xdr:to>
    <xdr:pic>
      <xdr:nvPicPr>
        <xdr:cNvPr id="33" name="Graphic 32">
          <a:extLst>
            <a:ext uri="{FF2B5EF4-FFF2-40B4-BE49-F238E27FC236}">
              <a16:creationId xmlns:a16="http://schemas.microsoft.com/office/drawing/2014/main" id="{841C52A7-4A13-4DEA-A23C-729AC803B18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391024" y="5082542"/>
          <a:ext cx="193312" cy="193312"/>
        </a:xfrm>
        <a:prstGeom prst="rect">
          <a:avLst/>
        </a:prstGeom>
      </xdr:spPr>
    </xdr:pic>
    <xdr:clientData/>
  </xdr:twoCellAnchor>
  <xdr:twoCellAnchor>
    <xdr:from>
      <xdr:col>2</xdr:col>
      <xdr:colOff>15240</xdr:colOff>
      <xdr:row>31</xdr:row>
      <xdr:rowOff>175260</xdr:rowOff>
    </xdr:from>
    <xdr:to>
      <xdr:col>3</xdr:col>
      <xdr:colOff>304800</xdr:colOff>
      <xdr:row>33</xdr:row>
      <xdr:rowOff>83820</xdr:rowOff>
    </xdr:to>
    <xdr:sp macro="" textlink="Pivots!D11">
      <xdr:nvSpPr>
        <xdr:cNvPr id="34" name="TextBox 33">
          <a:extLst>
            <a:ext uri="{FF2B5EF4-FFF2-40B4-BE49-F238E27FC236}">
              <a16:creationId xmlns:a16="http://schemas.microsoft.com/office/drawing/2014/main" id="{9D78BB0E-19F9-4EBB-B9B1-8E0CE4E3139B}"/>
            </a:ext>
          </a:extLst>
        </xdr:cNvPr>
        <xdr:cNvSpPr txBox="1"/>
      </xdr:nvSpPr>
      <xdr:spPr>
        <a:xfrm>
          <a:off x="662940" y="5844540"/>
          <a:ext cx="9601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422CC3-1AF0-4B2C-B571-93026E39FAB9}" type="TxLink">
            <a:rPr lang="en-US" sz="1100" b="0" i="0" u="none" strike="noStrike">
              <a:solidFill>
                <a:schemeClr val="bg1"/>
              </a:solidFill>
              <a:latin typeface="Aptos"/>
            </a:rPr>
            <a:pPr algn="ctr"/>
            <a:t>3.9</a:t>
          </a:fld>
          <a:endParaRPr lang="en-IN" sz="1100">
            <a:solidFill>
              <a:schemeClr val="bg1"/>
            </a:solidFill>
          </a:endParaRPr>
        </a:p>
      </xdr:txBody>
    </xdr:sp>
    <xdr:clientData/>
  </xdr:twoCellAnchor>
  <xdr:twoCellAnchor>
    <xdr:from>
      <xdr:col>1</xdr:col>
      <xdr:colOff>0</xdr:colOff>
      <xdr:row>35</xdr:row>
      <xdr:rowOff>91440</xdr:rowOff>
    </xdr:from>
    <xdr:to>
      <xdr:col>3</xdr:col>
      <xdr:colOff>647700</xdr:colOff>
      <xdr:row>41</xdr:row>
      <xdr:rowOff>91440</xdr:rowOff>
    </xdr:to>
    <xdr:sp macro="" textlink="Pivots!E4">
      <xdr:nvSpPr>
        <xdr:cNvPr id="35" name="Rectangle 34">
          <a:extLst>
            <a:ext uri="{FF2B5EF4-FFF2-40B4-BE49-F238E27FC236}">
              <a16:creationId xmlns:a16="http://schemas.microsoft.com/office/drawing/2014/main" id="{B40FE1CD-3D46-4B5C-B5C7-CC07C1145004}"/>
            </a:ext>
          </a:extLst>
        </xdr:cNvPr>
        <xdr:cNvSpPr/>
      </xdr:nvSpPr>
      <xdr:spPr>
        <a:xfrm>
          <a:off x="327660" y="6492240"/>
          <a:ext cx="1638300" cy="1097280"/>
        </a:xfrm>
        <a:prstGeom prst="rect">
          <a:avLst/>
        </a:prstGeom>
        <a:solidFill>
          <a:srgbClr val="8A3CC4"/>
        </a:solidFill>
        <a:ln>
          <a:solidFill>
            <a:srgbClr val="8A3CC4"/>
          </a:solidFill>
        </a:ln>
        <a:effectLst>
          <a:outerShdw blurRad="254000" dist="1270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F9765D5-5656-4D86-AFAA-2DA56C7A463D}" type="TxLink">
            <a:rPr lang="en-US" sz="3600" b="0" i="0" u="none" strike="noStrike">
              <a:solidFill>
                <a:schemeClr val="bg1"/>
              </a:solidFill>
              <a:latin typeface="+mj-lt"/>
            </a:rPr>
            <a:pPr algn="ctr"/>
            <a:t>307</a:t>
          </a:fld>
          <a:endParaRPr lang="en-IN" sz="3600">
            <a:solidFill>
              <a:schemeClr val="bg1"/>
            </a:solidFill>
            <a:latin typeface="+mj-lt"/>
          </a:endParaRPr>
        </a:p>
      </xdr:txBody>
    </xdr:sp>
    <xdr:clientData/>
  </xdr:twoCellAnchor>
  <xdr:twoCellAnchor>
    <xdr:from>
      <xdr:col>1</xdr:col>
      <xdr:colOff>243840</xdr:colOff>
      <xdr:row>35</xdr:row>
      <xdr:rowOff>91440</xdr:rowOff>
    </xdr:from>
    <xdr:to>
      <xdr:col>3</xdr:col>
      <xdr:colOff>434340</xdr:colOff>
      <xdr:row>37</xdr:row>
      <xdr:rowOff>22860</xdr:rowOff>
    </xdr:to>
    <xdr:sp macro="" textlink="">
      <xdr:nvSpPr>
        <xdr:cNvPr id="36" name="TextBox 35">
          <a:extLst>
            <a:ext uri="{FF2B5EF4-FFF2-40B4-BE49-F238E27FC236}">
              <a16:creationId xmlns:a16="http://schemas.microsoft.com/office/drawing/2014/main" id="{5DAB64C6-DBB7-47A9-BF70-1DDE6EB75361}"/>
            </a:ext>
          </a:extLst>
        </xdr:cNvPr>
        <xdr:cNvSpPr txBox="1"/>
      </xdr:nvSpPr>
      <xdr:spPr>
        <a:xfrm>
          <a:off x="571500" y="6492240"/>
          <a:ext cx="11811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n>
                <a:noFill/>
              </a:ln>
              <a:solidFill>
                <a:schemeClr val="bg1"/>
              </a:solidFill>
            </a:rPr>
            <a:t>Happy</a:t>
          </a:r>
          <a:r>
            <a:rPr lang="en-IN" sz="1200" baseline="0">
              <a:ln>
                <a:noFill/>
              </a:ln>
              <a:solidFill>
                <a:schemeClr val="bg1"/>
              </a:solidFill>
            </a:rPr>
            <a:t> Callers</a:t>
          </a:r>
          <a:endParaRPr lang="en-IN" sz="1200">
            <a:ln>
              <a:noFill/>
            </a:ln>
            <a:solidFill>
              <a:schemeClr val="bg1"/>
            </a:solidFill>
          </a:endParaRPr>
        </a:p>
      </xdr:txBody>
    </xdr:sp>
    <xdr:clientData/>
  </xdr:twoCellAnchor>
  <xdr:twoCellAnchor editAs="oneCell">
    <xdr:from>
      <xdr:col>1</xdr:col>
      <xdr:colOff>55744</xdr:colOff>
      <xdr:row>35</xdr:row>
      <xdr:rowOff>144782</xdr:rowOff>
    </xdr:from>
    <xdr:to>
      <xdr:col>1</xdr:col>
      <xdr:colOff>249056</xdr:colOff>
      <xdr:row>36</xdr:row>
      <xdr:rowOff>155214</xdr:rowOff>
    </xdr:to>
    <xdr:pic>
      <xdr:nvPicPr>
        <xdr:cNvPr id="37" name="Graphic 36">
          <a:extLst>
            <a:ext uri="{FF2B5EF4-FFF2-40B4-BE49-F238E27FC236}">
              <a16:creationId xmlns:a16="http://schemas.microsoft.com/office/drawing/2014/main" id="{5765C903-9FE0-4693-9A4D-3BE36D265AA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383404" y="6545582"/>
          <a:ext cx="193312" cy="193312"/>
        </a:xfrm>
        <a:prstGeom prst="rect">
          <a:avLst/>
        </a:prstGeom>
      </xdr:spPr>
    </xdr:pic>
    <xdr:clientData/>
  </xdr:twoCellAnchor>
  <xdr:twoCellAnchor>
    <xdr:from>
      <xdr:col>2</xdr:col>
      <xdr:colOff>22860</xdr:colOff>
      <xdr:row>39</xdr:row>
      <xdr:rowOff>160020</xdr:rowOff>
    </xdr:from>
    <xdr:to>
      <xdr:col>3</xdr:col>
      <xdr:colOff>312420</xdr:colOff>
      <xdr:row>41</xdr:row>
      <xdr:rowOff>68580</xdr:rowOff>
    </xdr:to>
    <xdr:sp macro="" textlink="Pivots!E11">
      <xdr:nvSpPr>
        <xdr:cNvPr id="38" name="TextBox 37">
          <a:extLst>
            <a:ext uri="{FF2B5EF4-FFF2-40B4-BE49-F238E27FC236}">
              <a16:creationId xmlns:a16="http://schemas.microsoft.com/office/drawing/2014/main" id="{19853564-CCE3-4D2D-9D9E-2E8EF8885CC6}"/>
            </a:ext>
          </a:extLst>
        </xdr:cNvPr>
        <xdr:cNvSpPr txBox="1"/>
      </xdr:nvSpPr>
      <xdr:spPr>
        <a:xfrm>
          <a:off x="670560" y="7292340"/>
          <a:ext cx="9601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8B869A-9EED-47CB-A371-04A8FE588A0E}" type="TxLink">
            <a:rPr lang="en-US" sz="1100" b="0" i="0" u="none" strike="noStrike">
              <a:solidFill>
                <a:schemeClr val="bg1"/>
              </a:solidFill>
              <a:latin typeface="Aptos"/>
            </a:rPr>
            <a:pPr algn="ctr"/>
            <a:t>60</a:t>
          </a:fld>
          <a:endParaRPr lang="en-IN" sz="1100">
            <a:solidFill>
              <a:schemeClr val="bg1"/>
            </a:solidFill>
          </a:endParaRPr>
        </a:p>
      </xdr:txBody>
    </xdr:sp>
    <xdr:clientData/>
  </xdr:twoCellAnchor>
  <xdr:twoCellAnchor editAs="oneCell">
    <xdr:from>
      <xdr:col>11</xdr:col>
      <xdr:colOff>495069</xdr:colOff>
      <xdr:row>24</xdr:row>
      <xdr:rowOff>179877</xdr:rowOff>
    </xdr:from>
    <xdr:to>
      <xdr:col>13</xdr:col>
      <xdr:colOff>401452</xdr:colOff>
      <xdr:row>35</xdr:row>
      <xdr:rowOff>56109</xdr:rowOff>
    </xdr:to>
    <mc:AlternateContent xmlns:mc="http://schemas.openxmlformats.org/markup-compatibility/2006" xmlns:a14="http://schemas.microsoft.com/office/drawing/2010/main">
      <mc:Choice Requires="a14">
        <xdr:graphicFrame macro="">
          <xdr:nvGraphicFramePr>
            <xdr:cNvPr id="41" name="Representative">
              <a:extLst>
                <a:ext uri="{FF2B5EF4-FFF2-40B4-BE49-F238E27FC236}">
                  <a16:creationId xmlns:a16="http://schemas.microsoft.com/office/drawing/2014/main" id="{9064BC39-9CE0-44BB-984E-96EC3B1AB121}"/>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168342" y="4613332"/>
              <a:ext cx="1245655" cy="19082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384810</xdr:colOff>
      <xdr:row>3</xdr:row>
      <xdr:rowOff>0</xdr:rowOff>
    </xdr:from>
    <xdr:to>
      <xdr:col>11</xdr:col>
      <xdr:colOff>0</xdr:colOff>
      <xdr:row>17</xdr:row>
      <xdr:rowOff>0</xdr:rowOff>
    </xdr:to>
    <xdr:graphicFrame macro="">
      <xdr:nvGraphicFramePr>
        <xdr:cNvPr id="42" name="Chart 41">
          <a:extLst>
            <a:ext uri="{FF2B5EF4-FFF2-40B4-BE49-F238E27FC236}">
              <a16:creationId xmlns:a16="http://schemas.microsoft.com/office/drawing/2014/main" id="{0A9D204C-A52C-46CD-B3E4-2A0787614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68580</xdr:colOff>
      <xdr:row>4</xdr:row>
      <xdr:rowOff>137160</xdr:rowOff>
    </xdr:from>
    <xdr:to>
      <xdr:col>14</xdr:col>
      <xdr:colOff>441960</xdr:colOff>
      <xdr:row>15</xdr:row>
      <xdr:rowOff>160020</xdr:rowOff>
    </xdr:to>
    <xdr:graphicFrame macro="">
      <xdr:nvGraphicFramePr>
        <xdr:cNvPr id="43" name="Chart 42">
          <a:extLst>
            <a:ext uri="{FF2B5EF4-FFF2-40B4-BE49-F238E27FC236}">
              <a16:creationId xmlns:a16="http://schemas.microsoft.com/office/drawing/2014/main" id="{97079BF0-2880-4A56-839A-EC40A3D6F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384926</xdr:colOff>
      <xdr:row>22</xdr:row>
      <xdr:rowOff>80625</xdr:rowOff>
    </xdr:from>
    <xdr:to>
      <xdr:col>8</xdr:col>
      <xdr:colOff>270626</xdr:colOff>
      <xdr:row>39</xdr:row>
      <xdr:rowOff>53803</xdr:rowOff>
    </xdr:to>
    <xdr:graphicFrame macro="">
      <xdr:nvGraphicFramePr>
        <xdr:cNvPr id="44" name="Chart 43">
          <a:extLst>
            <a:ext uri="{FF2B5EF4-FFF2-40B4-BE49-F238E27FC236}">
              <a16:creationId xmlns:a16="http://schemas.microsoft.com/office/drawing/2014/main" id="{805F4F80-D834-4879-931E-EF3D26A39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177641</xdr:colOff>
      <xdr:row>22</xdr:row>
      <xdr:rowOff>76662</xdr:rowOff>
    </xdr:from>
    <xdr:to>
      <xdr:col>11</xdr:col>
      <xdr:colOff>537326</xdr:colOff>
      <xdr:row>39</xdr:row>
      <xdr:rowOff>53802</xdr:rowOff>
    </xdr:to>
    <xdr:graphicFrame macro="">
      <xdr:nvGraphicFramePr>
        <xdr:cNvPr id="45" name="Chart 44">
          <a:extLst>
            <a:ext uri="{FF2B5EF4-FFF2-40B4-BE49-F238E27FC236}">
              <a16:creationId xmlns:a16="http://schemas.microsoft.com/office/drawing/2014/main" id="{AC27185D-0226-49BC-B9F5-D60226F3F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0</xdr:colOff>
      <xdr:row>3</xdr:row>
      <xdr:rowOff>0</xdr:rowOff>
    </xdr:from>
    <xdr:to>
      <xdr:col>19</xdr:col>
      <xdr:colOff>484909</xdr:colOff>
      <xdr:row>17</xdr:row>
      <xdr:rowOff>0</xdr:rowOff>
    </xdr:to>
    <xdr:graphicFrame macro="">
      <xdr:nvGraphicFramePr>
        <xdr:cNvPr id="11" name="Chart 10">
          <a:extLst>
            <a:ext uri="{FF2B5EF4-FFF2-40B4-BE49-F238E27FC236}">
              <a16:creationId xmlns:a16="http://schemas.microsoft.com/office/drawing/2014/main" id="{F1E8DE95-9248-478F-AFF5-1D7E506E5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473363</xdr:colOff>
      <xdr:row>2</xdr:row>
      <xdr:rowOff>173181</xdr:rowOff>
    </xdr:from>
    <xdr:to>
      <xdr:col>23</xdr:col>
      <xdr:colOff>484910</xdr:colOff>
      <xdr:row>17</xdr:row>
      <xdr:rowOff>11545</xdr:rowOff>
    </xdr:to>
    <xdr:graphicFrame macro="">
      <xdr:nvGraphicFramePr>
        <xdr:cNvPr id="12" name="Chart 11">
          <a:extLst>
            <a:ext uri="{FF2B5EF4-FFF2-40B4-BE49-F238E27FC236}">
              <a16:creationId xmlns:a16="http://schemas.microsoft.com/office/drawing/2014/main" id="{E5AA24B4-689C-41D1-AEB2-85550B31C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a V" refreshedDate="46067.655298148151" backgroundQuery="1" createdVersion="8" refreshedVersion="8" minRefreshableVersion="3" recordCount="0" supportSubquery="1" supportAdvancedDrill="1" xr:uid="{55047305-5BA2-42D5-802F-87C14E9D638A}">
  <cacheSource type="external" connectionId="1"/>
  <cacheFields count="5">
    <cacheField name="[Measures].[Total Duration]" caption="Total Duration" numFmtId="0" hierarchy="20" level="32767"/>
    <cacheField name="[Measures].[Callcount]" caption="Callcount" numFmtId="0" hierarchy="18" level="32767"/>
    <cacheField name="[Measures].[Total Amount]" caption="Total Amount" numFmtId="0" hierarchy="19" level="32767"/>
    <cacheField name="[Measures].[Average Rating ]" caption="Average Rating " numFmtId="0" hierarchy="21" level="32767"/>
    <cacheField name="[Measures].[5 STAR RATING]" caption="5 STAR RATING" numFmtId="0" hierarchy="22"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count]" caption="Call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oneField="1">
      <fieldsUsage count="1">
        <fieldUsage x="0"/>
      </fieldsUsage>
    </cacheHierarchy>
    <cacheHierarchy uniqueName="[Measures].[Average Rating ]" caption="Average Rating " measure="1" displayFolder="" measureGroup="calls" count="0" oneField="1">
      <fieldsUsage count="1">
        <fieldUsage x="3"/>
      </fieldsUsage>
    </cacheHierarchy>
    <cacheHierarchy uniqueName="[Measures].[5 STAR RATING]" caption="5 STAR 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a V" refreshedDate="46067.693721064818" backgroundQuery="1" createdVersion="8" refreshedVersion="8" minRefreshableVersion="3" recordCount="0" supportSubquery="1" supportAdvancedDrill="1" xr:uid="{3FC7CCA1-2968-44C2-9C5E-8A1F4C706404}">
  <cacheSource type="external" connectionId="1"/>
  <cacheFields count="3">
    <cacheField name="[calls].[Representative].[Representative]" caption="Representative" numFmtId="0" hierarchy="3" level="1">
      <sharedItems count="5">
        <s v="R01"/>
        <s v="R02"/>
        <s v="R03"/>
        <s v="R04"/>
        <s v="R05"/>
      </sharedItems>
    </cacheField>
    <cacheField name="[Measures].[Callcount]" caption="Callcount" numFmtId="0" hierarchy="18" level="32767"/>
    <cacheField name="[Measures].[Total Amount]" caption="Total Amount" numFmtId="0" hierarchy="19"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count]" caption="Call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 caption="Average Rating "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a V" refreshedDate="46067.728506597225" backgroundQuery="1" createdVersion="8" refreshedVersion="8" minRefreshableVersion="3" recordCount="0" supportSubquery="1" supportAdvancedDrill="1" xr:uid="{366491E8-2BDC-4FEE-8DB0-D2E6E57BA539}">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count]" caption="Callc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count]" caption="Call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 caption="Average Rating "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a V" refreshedDate="46067.755395138891" backgroundQuery="1" createdVersion="8" refreshedVersion="8" minRefreshableVersion="3" recordCount="0" supportSubquery="1" supportAdvancedDrill="1" xr:uid="{11A4A16E-EDF0-4526-A8F4-42947D9DC7EB}">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9"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count]" caption="Call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erage Rating ]" caption="Average Rating "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a V" refreshedDate="46067.76345150463" backgroundQuery="1" createdVersion="8" refreshedVersion="8" minRefreshableVersion="3" recordCount="0" supportSubquery="1" supportAdvancedDrill="1" xr:uid="{B54804FC-9BA4-4053-AF1B-3F4278A10D5F}">
  <cacheSource type="external" connectionId="1"/>
  <cacheFields count="6">
    <cacheField name="[Measures].[Total Duration]" caption="Total Duration" numFmtId="0" hierarchy="20" level="32767"/>
    <cacheField name="[Measures].[Callcount]" caption="Callcount" numFmtId="0" hierarchy="18" level="32767"/>
    <cacheField name="[Measures].[Total Amount]" caption="Total Amount" numFmtId="0" hierarchy="19" level="32767"/>
    <cacheField name="[Measures].[Average Rating ]" caption="Average Rating " numFmtId="0" hierarchy="21" level="32767"/>
    <cacheField name="[Measures].[5 STAR RATING]" caption="5 STAR RATING" numFmtId="0" hierarchy="22"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count]" caption="Call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oneField="1">
      <fieldsUsage count="1">
        <fieldUsage x="0"/>
      </fieldsUsage>
    </cacheHierarchy>
    <cacheHierarchy uniqueName="[Measures].[Average Rating ]" caption="Average Rating " measure="1" displayFolder="" measureGroup="calls" count="0" oneField="1">
      <fieldsUsage count="1">
        <fieldUsage x="3"/>
      </fieldsUsage>
    </cacheHierarchy>
    <cacheHierarchy uniqueName="[Measures].[5 STAR RATING]" caption="5 STAR 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a V" refreshedDate="46067.763451851853" backgroundQuery="1" createdVersion="8" refreshedVersion="8" minRefreshableVersion="3" recordCount="0" supportSubquery="1" supportAdvancedDrill="1" xr:uid="{FD0A6204-116C-4D49-892A-ED0DF89A7767}">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01-31T00:00:00" count="13">
        <d v="2023-01-01T00:00:00"/>
        <d v="2023-01-03T00:00:00"/>
        <d v="2023-01-04T00:00:00"/>
        <d v="2023-01-05T00:00:00"/>
        <d v="2023-01-08T00:00:00"/>
        <d v="2023-01-14T00:00:00"/>
        <d v="2023-01-16T00:00:00"/>
        <d v="2023-01-18T00:00:00"/>
        <d v="2023-01-20T00:00:00"/>
        <d v="2023-01-23T00:00:00"/>
        <d v="2023-01-24T00:00:00"/>
        <d v="2023-01-26T00:00:00"/>
        <d v="2023-01-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count]" caption="Callcount" numFmtId="0" hierarchy="18"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count]" caption="Call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 caption="Average Rating "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a V" refreshedDate="46067.763452199077" backgroundQuery="1" createdVersion="8" refreshedVersion="8" minRefreshableVersion="3" recordCount="0" supportSubquery="1" supportAdvancedDrill="1" xr:uid="{F3D275F2-D782-4FB2-A98E-D846BC42CF2E}">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count]" caption="Callc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count]" caption="Call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 caption="Average Rating "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a V" refreshedDate="46067.763452546293" backgroundQuery="1" createdVersion="8" refreshedVersion="8" minRefreshableVersion="3" recordCount="0" supportSubquery="1" supportAdvancedDrill="1" xr:uid="{8D692222-CD01-4745-822A-90499640E34A}">
  <cacheSource type="external" connectionId="1"/>
  <cacheFields count="1">
    <cacheField name="[calls].[Representative].[Representative]" caption="Representative" numFmtId="0" hierarchy="3" level="1">
      <sharedItems count="1">
        <s v="R01"/>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count]" caption="Call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 caption="Average Rating "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a V" refreshedDate="46067.763452893516" backgroundQuery="1" createdVersion="8" refreshedVersion="8" minRefreshableVersion="3" recordCount="0" supportSubquery="1" supportAdvancedDrill="1" xr:uid="{5FA70F3A-A79E-4022-9553-3970434F07BC}">
  <cacheSource type="external" connectionId="1"/>
  <cacheFields count="3">
    <cacheField name="[Measures].[Callcount]" caption="Callcount" numFmtId="0" hierarchy="18"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count]" caption="Call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 caption="Average Rating "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a V" refreshedDate="46067.655291319446" backgroundQuery="1" createdVersion="3" refreshedVersion="8" minRefreshableVersion="3" recordCount="0" supportSubquery="1" supportAdvancedDrill="1" xr:uid="{78C48DBF-04B2-4AD3-8DC3-C4A81B196403}">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count]" caption="Call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 caption="Average Rating "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020402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EC0843-5941-4C31-AE8D-62A50A696067}" name="Week Trends"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3">
  <location ref="E15:F23"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32"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_Center Portfolio 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D78D3B-8C16-48F1-BFF9-C94FD2364E55}" name="Month Trends"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A15:C28"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3">
        <item x="0"/>
        <item x="1"/>
        <item x="2"/>
        <item x="3"/>
        <item x="4"/>
        <item x="5"/>
        <item x="6"/>
        <item x="7"/>
        <item x="8"/>
        <item x="9"/>
        <item x="10"/>
        <item x="11"/>
        <item x="12"/>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count2" fld="4" subtotal="count" baseField="0" baseItem="0">
      <extLst>
        <ext xmlns:x14="http://schemas.microsoft.com/office/spreadsheetml/2009/9/main" uri="{E15A36E0-9728-4e99-A89B-3F7291B0FE68}">
          <x14:dataField sourceField="3" uniqueName="[__Xl2].[Measures].[Callcount]"/>
        </ext>
      </extLst>
    </dataField>
  </dataFields>
  <chartFormats count="2">
    <chartFormat chart="23" format="4" series="1">
      <pivotArea type="data" outline="0" fieldPosition="0">
        <references count="1">
          <reference field="4294967294" count="1" selected="0">
            <x v="1"/>
          </reference>
        </references>
      </pivotArea>
    </chartFormat>
    <chartFormat chart="23"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_Center Portfolio 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61ED4C-FC39-4706-86A9-0579294466BE}" name="Pivot Rep"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E11"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1" subtotal="count" baseField="0" baseItem="0"/>
    <dataField fld="2" subtotal="count" baseField="0" baseItem="0"/>
    <dataField fld="0"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_Center Portfolio 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99DDFD-09C9-4692-B19E-DCAB2ADFF2FE}"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13:Q33"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9">
    <i>
      <x/>
    </i>
    <i r="1">
      <x/>
    </i>
    <i r="1">
      <x v="1"/>
    </i>
    <i r="1">
      <x v="2"/>
    </i>
    <i r="1">
      <x v="3"/>
    </i>
    <i>
      <x v="1"/>
    </i>
    <i r="1">
      <x v="4"/>
    </i>
    <i r="1">
      <x v="5"/>
    </i>
    <i r="1">
      <x v="6"/>
    </i>
    <i r="1">
      <x v="7"/>
    </i>
    <i r="1">
      <x v="8"/>
    </i>
    <i r="1">
      <x v="9"/>
    </i>
    <i>
      <x v="2"/>
    </i>
    <i r="1">
      <x v="10"/>
    </i>
    <i r="1">
      <x v="11"/>
    </i>
    <i r="1">
      <x v="12"/>
    </i>
    <i r="1">
      <x v="13"/>
    </i>
    <i r="1">
      <x v="14"/>
    </i>
    <i t="grand">
      <x/>
    </i>
  </rowItems>
  <colFields count="1">
    <field x="0"/>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76B0BE-D3D7-4306-B75B-6CB3CDBDEE2B}" name="PivotTable1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13:I1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FA386C-0537-43E4-97B3-0B8508A076CF}" name="Summary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1" subtotal="count" baseField="0" baseItem="0"/>
    <dataField fld="2" subtotal="count" baseField="0" baseItem="0"/>
    <dataField fld="0"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_Center Portfolio 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966E72-6410-433F-8C6D-427F5FFD98D5}"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4:K9"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425D4F-5495-4728-9931-E5E002A4FBBD}" name="Selected Reps" cacheId="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42:A43"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949521-8FAD-4B33-B9AE-31BC97680B1E}" name="Reps Pivots "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C37"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11</v>
  </rv>
  <rv s="1">
    <v>1</v>
    <v>5</v>
    <v>A person in a suit and tie
Description automatically generated</v>
  </rv>
  <rv s="1">
    <v>2</v>
    <v>5</v>
    <v>Business woman raising hand</v>
  </rv>
  <rv s="1">
    <v>3</v>
    <v>5</v>
    <v>Young businessman writing on notebook</v>
  </rv>
  <rv s="1">
    <v>4</v>
    <v>5</v>
    <v>Business woman shrugging</v>
  </rv>
</rvData>
</file>

<file path=xl/richData/rdrichvaluestructure.xml><?xml version="1.0" encoding="utf-8"?>
<rvStructures xmlns="http://schemas.microsoft.com/office/spreadsheetml/2017/richdata" count="2">
  <s t="_error">
    <k n="error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1834B037-59BC-4BCB-88A3-8A9F01583857}" sourceName="[calls].[Representative]">
  <pivotTables>
    <pivotTable tabId="7" name="Pivot Rep"/>
    <pivotTable tabId="7" name="Month Trends"/>
    <pivotTable tabId="7" name="Week Trends"/>
    <pivotTable tabId="7" name="Selected Reps"/>
    <pivotTable tabId="7" name="PivotTable10"/>
  </pivotTables>
  <data>
    <olap pivotCacheId="402040242">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F7C371BF-B4B9-4511-8A84-896D03E4DDCE}" cache="Slicer_Representative" caption="Representative" level="1" style="SlicerStyleLight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3"/>
    <tableColumn id="5" xr3:uid="{5A35565E-8707-4DED-AD15-A0669D67B382}" name="Date of Call" dataDxfId="12"/>
    <tableColumn id="6" xr3:uid="{F2E4F158-B41F-47BC-8DF8-DFCADFEE4E40}" name="Purchase Amount"/>
    <tableColumn id="7" xr3:uid="{04B291B5-47BD-4F78-8FD8-D1551CCA6BD9}" name="Satisfaction Rating"/>
    <tableColumn id="8" xr3:uid="{6E4123C0-0B17-43B8-A142-A1E540CE974C}" name="FY" dataDxfId="11">
      <calculatedColumnFormula>IF(MONTH(calls[[#This Row],[Date of Call]])&lt;=6, YEAR(calls[[#This Row],[Date of Call]]), YEAR(calls[[#This Row],[Date of Call]])+1)</calculatedColumnFormula>
    </tableColumn>
    <tableColumn id="9" xr3:uid="{199FA271-5E9B-46CE-9BC6-2801F92CD17E}" name="Day of week" dataDxfId="10">
      <calculatedColumnFormula>TEXT(calls[[#This Row],[Date of Call]],"DDDD")</calculatedColumnFormula>
    </tableColumn>
    <tableColumn id="10" xr3:uid="{328CDB09-95B8-4D5E-9ED9-EF0D363735A1}" name="Duration Bucket" dataDxfId="9">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8">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7" headerRowBorderDxfId="6" tableBorderDxfId="5" totalsRowBorderDxfId="4">
  <autoFilter ref="Q3:T18" xr:uid="{27158F51-A707-4171-8A04-81FB0AABCBA5}"/>
  <tableColumns count="4">
    <tableColumn id="1" xr3:uid="{02688061-6A8C-4E23-B7FF-D00CD8B58CAC}" name="Customer ID" dataDxfId="3"/>
    <tableColumn id="2" xr3:uid="{771678B6-DB44-426B-9874-B4E421A440D5}" name="Gedner" dataDxfId="2"/>
    <tableColumn id="3" xr3:uid="{B0D41C62-587E-494D-B49A-603F2C05F8D3}" name="Age" dataDxfId="1"/>
    <tableColumn id="4" xr3:uid="{663F92D6-FE31-4D81-9E01-8D066DDC8A88}" name="City"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abSelected="1" zoomScale="61" zoomScaleNormal="115" workbookViewId="0">
      <selection activeCell="E1" sqref="E1"/>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8E5E4-44A8-4BC5-8A03-33AAF9ADE330}">
  <dimension ref="A3:Q43"/>
  <sheetViews>
    <sheetView topLeftCell="F10" zoomScale="101" zoomScaleNormal="101" workbookViewId="0">
      <selection activeCell="K15" sqref="K15:Q32"/>
    </sheetView>
  </sheetViews>
  <sheetFormatPr defaultRowHeight="14.4" x14ac:dyDescent="0.3"/>
  <cols>
    <col min="1" max="1" width="12.69921875" bestFit="1" customWidth="1"/>
    <col min="2" max="2" width="9.296875" bestFit="1" customWidth="1"/>
    <col min="3" max="3" width="10.296875" bestFit="1" customWidth="1"/>
    <col min="4" max="4" width="14.19921875" bestFit="1" customWidth="1"/>
    <col min="5" max="5" width="12.69921875" bestFit="1" customWidth="1"/>
    <col min="6" max="6" width="9.296875" bestFit="1" customWidth="1"/>
    <col min="7" max="7" width="9.796875" bestFit="1" customWidth="1"/>
    <col min="8" max="8" width="12.69921875" bestFit="1" customWidth="1"/>
    <col min="9" max="9" width="9.296875" bestFit="1" customWidth="1"/>
    <col min="10" max="10" width="5.09765625" bestFit="1" customWidth="1"/>
    <col min="11" max="11" width="12.69921875" bestFit="1" customWidth="1"/>
    <col min="12" max="12" width="15.8984375" bestFit="1" customWidth="1"/>
    <col min="13" max="16" width="7.796875" bestFit="1" customWidth="1"/>
    <col min="17" max="17" width="10.8984375" bestFit="1" customWidth="1"/>
  </cols>
  <sheetData>
    <row r="3" spans="1:17" x14ac:dyDescent="0.3">
      <c r="A3" t="s">
        <v>1042</v>
      </c>
      <c r="B3" t="s">
        <v>1043</v>
      </c>
      <c r="C3" t="s">
        <v>1044</v>
      </c>
      <c r="D3" t="s">
        <v>1045</v>
      </c>
      <c r="E3" t="s">
        <v>1046</v>
      </c>
    </row>
    <row r="4" spans="1:17" x14ac:dyDescent="0.3">
      <c r="A4" s="20">
        <v>1000</v>
      </c>
      <c r="B4" s="21">
        <v>96623</v>
      </c>
      <c r="C4" s="20">
        <v>89850</v>
      </c>
      <c r="D4" s="22">
        <v>3.8854000000000033</v>
      </c>
      <c r="E4" s="20">
        <v>307</v>
      </c>
      <c r="H4" s="23" t="s">
        <v>1042</v>
      </c>
      <c r="I4" s="23" t="s">
        <v>1075</v>
      </c>
    </row>
    <row r="5" spans="1:17" x14ac:dyDescent="0.3">
      <c r="H5" s="23" t="s">
        <v>1047</v>
      </c>
      <c r="I5" t="s">
        <v>999</v>
      </c>
      <c r="J5" t="s">
        <v>998</v>
      </c>
      <c r="K5" t="s">
        <v>1048</v>
      </c>
    </row>
    <row r="6" spans="1:17" x14ac:dyDescent="0.3">
      <c r="H6" s="26" t="s">
        <v>1002</v>
      </c>
      <c r="I6" s="20">
        <v>144</v>
      </c>
      <c r="J6" s="20">
        <v>132</v>
      </c>
      <c r="K6" s="20">
        <v>276</v>
      </c>
    </row>
    <row r="7" spans="1:17" x14ac:dyDescent="0.3">
      <c r="H7" s="26" t="s">
        <v>1001</v>
      </c>
      <c r="I7" s="20">
        <v>326</v>
      </c>
      <c r="J7" s="20">
        <v>63</v>
      </c>
      <c r="K7" s="20">
        <v>389</v>
      </c>
    </row>
    <row r="8" spans="1:17" x14ac:dyDescent="0.3">
      <c r="H8" s="26" t="s">
        <v>1000</v>
      </c>
      <c r="I8" s="20">
        <v>129</v>
      </c>
      <c r="J8" s="20">
        <v>206</v>
      </c>
      <c r="K8" s="20">
        <v>335</v>
      </c>
    </row>
    <row r="9" spans="1:17" x14ac:dyDescent="0.3">
      <c r="H9" s="26" t="s">
        <v>1048</v>
      </c>
      <c r="I9" s="20">
        <v>599</v>
      </c>
      <c r="J9" s="20">
        <v>401</v>
      </c>
      <c r="K9" s="20">
        <v>1000</v>
      </c>
    </row>
    <row r="10" spans="1:17" x14ac:dyDescent="0.3">
      <c r="A10" t="s">
        <v>1042</v>
      </c>
      <c r="B10" t="s">
        <v>1043</v>
      </c>
      <c r="C10" t="s">
        <v>1044</v>
      </c>
      <c r="D10" t="s">
        <v>1045</v>
      </c>
      <c r="E10" t="s">
        <v>1046</v>
      </c>
    </row>
    <row r="11" spans="1:17" x14ac:dyDescent="0.3">
      <c r="A11" s="20">
        <v>189</v>
      </c>
      <c r="B11" s="21">
        <v>18415</v>
      </c>
      <c r="C11" s="20">
        <v>16834</v>
      </c>
      <c r="D11" s="22">
        <v>3.9227513227513247</v>
      </c>
      <c r="E11" s="20">
        <v>60</v>
      </c>
    </row>
    <row r="13" spans="1:17" x14ac:dyDescent="0.3">
      <c r="H13" s="23" t="s">
        <v>1047</v>
      </c>
      <c r="I13" t="s">
        <v>1042</v>
      </c>
      <c r="K13" s="23" t="s">
        <v>1043</v>
      </c>
      <c r="L13" s="23" t="s">
        <v>1075</v>
      </c>
    </row>
    <row r="14" spans="1:17" x14ac:dyDescent="0.3">
      <c r="H14" s="26">
        <v>1</v>
      </c>
      <c r="I14" s="20">
        <v>1</v>
      </c>
      <c r="K14" s="23" t="s">
        <v>1047</v>
      </c>
      <c r="L14" t="s">
        <v>11</v>
      </c>
      <c r="M14" t="s">
        <v>9</v>
      </c>
      <c r="N14" t="s">
        <v>6</v>
      </c>
      <c r="O14" t="s">
        <v>13</v>
      </c>
      <c r="P14" t="s">
        <v>10</v>
      </c>
      <c r="Q14" t="s">
        <v>1048</v>
      </c>
    </row>
    <row r="15" spans="1:17" x14ac:dyDescent="0.3">
      <c r="A15" s="23" t="s">
        <v>1047</v>
      </c>
      <c r="B15" t="s">
        <v>1042</v>
      </c>
      <c r="C15" t="s">
        <v>1061</v>
      </c>
      <c r="E15" s="23" t="s">
        <v>1047</v>
      </c>
      <c r="F15" t="s">
        <v>1042</v>
      </c>
      <c r="H15" s="26">
        <v>2</v>
      </c>
      <c r="I15" s="20">
        <v>9</v>
      </c>
      <c r="K15" s="26" t="s">
        <v>1002</v>
      </c>
    </row>
    <row r="16" spans="1:17" x14ac:dyDescent="0.3">
      <c r="A16" s="26" t="s">
        <v>1049</v>
      </c>
      <c r="B16" s="20">
        <v>16</v>
      </c>
      <c r="C16" s="20">
        <v>16</v>
      </c>
      <c r="E16" s="26" t="s">
        <v>1063</v>
      </c>
      <c r="F16" s="20">
        <v>36</v>
      </c>
      <c r="H16" s="26">
        <v>3</v>
      </c>
      <c r="I16" s="20">
        <v>31</v>
      </c>
      <c r="K16" s="28" t="s">
        <v>20</v>
      </c>
      <c r="L16" s="21">
        <v>891</v>
      </c>
      <c r="M16" s="21">
        <v>1332</v>
      </c>
      <c r="N16" s="21">
        <v>1282</v>
      </c>
      <c r="O16" s="21">
        <v>739</v>
      </c>
      <c r="P16" s="21">
        <v>560</v>
      </c>
      <c r="Q16" s="21">
        <v>4804</v>
      </c>
    </row>
    <row r="17" spans="1:17" x14ac:dyDescent="0.3">
      <c r="A17" s="26" t="s">
        <v>1050</v>
      </c>
      <c r="B17" s="20">
        <v>14</v>
      </c>
      <c r="C17" s="20">
        <v>14</v>
      </c>
      <c r="E17" s="26" t="s">
        <v>1064</v>
      </c>
      <c r="F17" s="20">
        <v>30</v>
      </c>
      <c r="H17" s="26">
        <v>4</v>
      </c>
      <c r="I17" s="20">
        <v>88</v>
      </c>
      <c r="K17" s="28" t="s">
        <v>12</v>
      </c>
      <c r="L17" s="21">
        <v>1991</v>
      </c>
      <c r="M17" s="21">
        <v>1886</v>
      </c>
      <c r="N17" s="21">
        <v>1206</v>
      </c>
      <c r="O17" s="21">
        <v>884</v>
      </c>
      <c r="P17" s="21">
        <v>1722</v>
      </c>
      <c r="Q17" s="21">
        <v>7689</v>
      </c>
    </row>
    <row r="18" spans="1:17" x14ac:dyDescent="0.3">
      <c r="A18" s="26" t="s">
        <v>1051</v>
      </c>
      <c r="B18" s="20">
        <v>26</v>
      </c>
      <c r="C18" s="20">
        <v>26</v>
      </c>
      <c r="E18" s="26" t="s">
        <v>1065</v>
      </c>
      <c r="F18" s="20">
        <v>13</v>
      </c>
      <c r="H18" s="26">
        <v>5</v>
      </c>
      <c r="I18" s="20">
        <v>60</v>
      </c>
      <c r="K18" s="28" t="s">
        <v>8</v>
      </c>
      <c r="L18" s="21">
        <v>1163</v>
      </c>
      <c r="M18" s="21">
        <v>1180</v>
      </c>
      <c r="N18" s="21">
        <v>1616</v>
      </c>
      <c r="O18" s="21">
        <v>1043</v>
      </c>
      <c r="P18" s="21">
        <v>1747</v>
      </c>
      <c r="Q18" s="21">
        <v>6749</v>
      </c>
    </row>
    <row r="19" spans="1:17" x14ac:dyDescent="0.3">
      <c r="A19" s="26" t="s">
        <v>1052</v>
      </c>
      <c r="B19" s="20">
        <v>29</v>
      </c>
      <c r="C19" s="20">
        <v>29</v>
      </c>
      <c r="E19" s="26" t="s">
        <v>1066</v>
      </c>
      <c r="F19" s="20">
        <v>23</v>
      </c>
      <c r="H19" s="26" t="s">
        <v>1048</v>
      </c>
      <c r="I19" s="20">
        <v>189</v>
      </c>
      <c r="K19" s="28" t="s">
        <v>16</v>
      </c>
      <c r="L19" s="21">
        <v>1438</v>
      </c>
      <c r="M19" s="21">
        <v>1616</v>
      </c>
      <c r="N19" s="21">
        <v>866</v>
      </c>
      <c r="O19" s="21">
        <v>829</v>
      </c>
      <c r="P19" s="21">
        <v>2070</v>
      </c>
      <c r="Q19" s="21">
        <v>6819</v>
      </c>
    </row>
    <row r="20" spans="1:17" x14ac:dyDescent="0.3">
      <c r="A20" s="26" t="s">
        <v>1053</v>
      </c>
      <c r="B20" s="20">
        <v>17</v>
      </c>
      <c r="C20" s="20">
        <v>17</v>
      </c>
      <c r="E20" s="26" t="s">
        <v>1062</v>
      </c>
      <c r="F20" s="20">
        <v>23</v>
      </c>
      <c r="K20" s="26" t="s">
        <v>1001</v>
      </c>
    </row>
    <row r="21" spans="1:17" x14ac:dyDescent="0.3">
      <c r="A21" s="26" t="s">
        <v>1054</v>
      </c>
      <c r="B21" s="20">
        <v>15</v>
      </c>
      <c r="C21" s="20">
        <v>15</v>
      </c>
      <c r="E21" s="26" t="s">
        <v>1067</v>
      </c>
      <c r="F21" s="20">
        <v>24</v>
      </c>
      <c r="K21" s="28" t="s">
        <v>24</v>
      </c>
      <c r="L21" s="21">
        <v>1233</v>
      </c>
      <c r="M21" s="21">
        <v>223</v>
      </c>
      <c r="N21" s="21">
        <v>1680</v>
      </c>
      <c r="O21" s="21">
        <v>990</v>
      </c>
      <c r="P21" s="21">
        <v>1508</v>
      </c>
      <c r="Q21" s="21">
        <v>5634</v>
      </c>
    </row>
    <row r="22" spans="1:17" x14ac:dyDescent="0.3">
      <c r="A22" s="26" t="s">
        <v>1055</v>
      </c>
      <c r="B22" s="20">
        <v>15</v>
      </c>
      <c r="C22" s="20">
        <v>15</v>
      </c>
      <c r="E22" s="26" t="s">
        <v>1068</v>
      </c>
      <c r="F22" s="20">
        <v>40</v>
      </c>
      <c r="K22" s="28" t="s">
        <v>15</v>
      </c>
      <c r="L22" s="21">
        <v>1598</v>
      </c>
      <c r="M22" s="21">
        <v>1907</v>
      </c>
      <c r="N22" s="21">
        <v>869</v>
      </c>
      <c r="O22" s="21">
        <v>1426</v>
      </c>
      <c r="P22" s="21">
        <v>1416</v>
      </c>
      <c r="Q22" s="21">
        <v>7216</v>
      </c>
    </row>
    <row r="23" spans="1:17" x14ac:dyDescent="0.3">
      <c r="A23" s="26" t="s">
        <v>1056</v>
      </c>
      <c r="B23" s="20">
        <v>7</v>
      </c>
      <c r="C23" s="20">
        <v>7</v>
      </c>
      <c r="E23" s="26" t="s">
        <v>1048</v>
      </c>
      <c r="F23" s="20">
        <v>189</v>
      </c>
      <c r="K23" s="28" t="s">
        <v>5</v>
      </c>
      <c r="L23" s="21">
        <v>900</v>
      </c>
      <c r="M23" s="21">
        <v>1016</v>
      </c>
      <c r="N23" s="21">
        <v>960</v>
      </c>
      <c r="O23" s="21">
        <v>940</v>
      </c>
      <c r="P23" s="21">
        <v>1193</v>
      </c>
      <c r="Q23" s="21">
        <v>5009</v>
      </c>
    </row>
    <row r="24" spans="1:17" x14ac:dyDescent="0.3">
      <c r="A24" s="26" t="s">
        <v>1057</v>
      </c>
      <c r="B24" s="20">
        <v>11</v>
      </c>
      <c r="C24" s="20">
        <v>11</v>
      </c>
      <c r="K24" s="28" t="s">
        <v>18</v>
      </c>
      <c r="L24" s="21">
        <v>900</v>
      </c>
      <c r="M24" s="21">
        <v>1470</v>
      </c>
      <c r="N24" s="21">
        <v>1617</v>
      </c>
      <c r="O24" s="21">
        <v>1314</v>
      </c>
      <c r="P24" s="21">
        <v>941</v>
      </c>
      <c r="Q24" s="21">
        <v>6242</v>
      </c>
    </row>
    <row r="25" spans="1:17" x14ac:dyDescent="0.3">
      <c r="A25" s="26" t="s">
        <v>1058</v>
      </c>
      <c r="B25" s="20">
        <v>24</v>
      </c>
      <c r="C25" s="20">
        <v>24</v>
      </c>
      <c r="K25" s="28" t="s">
        <v>14</v>
      </c>
      <c r="L25" s="21">
        <v>1255</v>
      </c>
      <c r="M25" s="21">
        <v>516</v>
      </c>
      <c r="N25" s="21">
        <v>1874</v>
      </c>
      <c r="O25" s="21">
        <v>1863</v>
      </c>
      <c r="P25" s="21">
        <v>1722</v>
      </c>
      <c r="Q25" s="21">
        <v>7230</v>
      </c>
    </row>
    <row r="26" spans="1:17" x14ac:dyDescent="0.3">
      <c r="A26" s="26" t="s">
        <v>1059</v>
      </c>
      <c r="B26" s="20">
        <v>9</v>
      </c>
      <c r="C26" s="20">
        <v>9</v>
      </c>
      <c r="K26" s="28" t="s">
        <v>19</v>
      </c>
      <c r="L26" s="21">
        <v>1138</v>
      </c>
      <c r="M26" s="21">
        <v>1898</v>
      </c>
      <c r="N26" s="21">
        <v>1482</v>
      </c>
      <c r="O26" s="21">
        <v>846</v>
      </c>
      <c r="P26" s="21">
        <v>1154</v>
      </c>
      <c r="Q26" s="21">
        <v>6518</v>
      </c>
    </row>
    <row r="27" spans="1:17" x14ac:dyDescent="0.3">
      <c r="A27" s="26" t="s">
        <v>1060</v>
      </c>
      <c r="B27" s="20">
        <v>6</v>
      </c>
      <c r="C27" s="20">
        <v>6</v>
      </c>
      <c r="K27" s="26" t="s">
        <v>1000</v>
      </c>
    </row>
    <row r="28" spans="1:17" x14ac:dyDescent="0.3">
      <c r="A28" s="26" t="s">
        <v>1048</v>
      </c>
      <c r="B28" s="20">
        <v>189</v>
      </c>
      <c r="C28" s="20">
        <v>189</v>
      </c>
      <c r="I28" t="s">
        <v>1074</v>
      </c>
      <c r="J28" t="str">
        <f>A43</f>
        <v>R01</v>
      </c>
      <c r="K28" s="28" t="s">
        <v>17</v>
      </c>
      <c r="L28" s="21">
        <v>1655</v>
      </c>
      <c r="M28" s="21">
        <v>805</v>
      </c>
      <c r="N28" s="21">
        <v>2263</v>
      </c>
      <c r="O28" s="21">
        <v>987</v>
      </c>
      <c r="P28" s="21">
        <v>1075</v>
      </c>
      <c r="Q28" s="21">
        <v>6785</v>
      </c>
    </row>
    <row r="29" spans="1:17" x14ac:dyDescent="0.3">
      <c r="K29" s="28" t="s">
        <v>23</v>
      </c>
      <c r="L29" s="21">
        <v>1104</v>
      </c>
      <c r="M29" s="21">
        <v>2280</v>
      </c>
      <c r="N29" s="21">
        <v>1445</v>
      </c>
      <c r="O29" s="21">
        <v>1722</v>
      </c>
      <c r="P29" s="21">
        <v>1196</v>
      </c>
      <c r="Q29" s="21">
        <v>7747</v>
      </c>
    </row>
    <row r="30" spans="1:17" x14ac:dyDescent="0.3">
      <c r="E30" t="s">
        <v>1069</v>
      </c>
      <c r="F30" t="s">
        <v>1070</v>
      </c>
      <c r="G30" t="s">
        <v>1071</v>
      </c>
      <c r="H30" t="s">
        <v>1072</v>
      </c>
      <c r="I30" t="s">
        <v>1073</v>
      </c>
      <c r="K30" s="28" t="s">
        <v>7</v>
      </c>
      <c r="L30" s="21">
        <v>372</v>
      </c>
      <c r="M30" s="21">
        <v>1818</v>
      </c>
      <c r="N30" s="21">
        <v>1346</v>
      </c>
      <c r="O30" s="21">
        <v>1156</v>
      </c>
      <c r="P30" s="21">
        <v>1484</v>
      </c>
      <c r="Q30" s="21">
        <v>6176</v>
      </c>
    </row>
    <row r="31" spans="1:17" x14ac:dyDescent="0.3">
      <c r="A31" s="23" t="s">
        <v>1047</v>
      </c>
      <c r="B31" t="s">
        <v>1042</v>
      </c>
      <c r="C31" t="s">
        <v>1043</v>
      </c>
      <c r="E31" t="str" cm="1">
        <f t="array" ref="E31:G35">A32:C36</f>
        <v>R01</v>
      </c>
      <c r="F31">
        <v>189</v>
      </c>
      <c r="G31" s="27">
        <v>18415</v>
      </c>
      <c r="H31">
        <f>IF(E31=$J$28,F31,NA())</f>
        <v>189</v>
      </c>
      <c r="I31">
        <f>IF(E31=$J$28,G31,NA())</f>
        <v>18415</v>
      </c>
      <c r="K31" s="28" t="s">
        <v>22</v>
      </c>
      <c r="L31" s="21">
        <v>1415</v>
      </c>
      <c r="M31" s="21">
        <v>1271</v>
      </c>
      <c r="N31" s="21">
        <v>1214</v>
      </c>
      <c r="O31" s="21">
        <v>1135</v>
      </c>
      <c r="P31" s="21">
        <v>1566</v>
      </c>
      <c r="Q31" s="21">
        <v>6601</v>
      </c>
    </row>
    <row r="32" spans="1:17" x14ac:dyDescent="0.3">
      <c r="A32" s="26" t="s">
        <v>11</v>
      </c>
      <c r="B32" s="20">
        <v>189</v>
      </c>
      <c r="C32" s="21">
        <v>18415</v>
      </c>
      <c r="E32" t="str">
        <v>R02</v>
      </c>
      <c r="F32">
        <v>218</v>
      </c>
      <c r="G32" s="27">
        <v>20581</v>
      </c>
      <c r="H32" t="e">
        <f t="shared" ref="H32:H35" si="0">IF(E32=$J$28,F32,NA())</f>
        <v>#N/A</v>
      </c>
      <c r="I32" t="e">
        <f t="shared" ref="I32:I35" si="1">IF(E32=$J$28,G32,NA())</f>
        <v>#N/A</v>
      </c>
      <c r="K32" s="28" t="s">
        <v>21</v>
      </c>
      <c r="L32" s="21">
        <v>1362</v>
      </c>
      <c r="M32" s="21">
        <v>1363</v>
      </c>
      <c r="N32" s="21">
        <v>1152</v>
      </c>
      <c r="O32" s="21">
        <v>777</v>
      </c>
      <c r="P32" s="21">
        <v>750</v>
      </c>
      <c r="Q32" s="21">
        <v>5404</v>
      </c>
    </row>
    <row r="33" spans="1:17" x14ac:dyDescent="0.3">
      <c r="A33" s="26" t="s">
        <v>9</v>
      </c>
      <c r="B33" s="20">
        <v>218</v>
      </c>
      <c r="C33" s="21">
        <v>20581</v>
      </c>
      <c r="E33" t="str">
        <v>R03</v>
      </c>
      <c r="F33">
        <v>207</v>
      </c>
      <c r="G33" s="27">
        <v>20872</v>
      </c>
      <c r="H33" t="e">
        <f t="shared" si="0"/>
        <v>#N/A</v>
      </c>
      <c r="I33" t="e">
        <f t="shared" si="1"/>
        <v>#N/A</v>
      </c>
      <c r="K33" s="26" t="s">
        <v>1048</v>
      </c>
      <c r="L33" s="21">
        <v>18415</v>
      </c>
      <c r="M33" s="21">
        <v>20581</v>
      </c>
      <c r="N33" s="21">
        <v>20872</v>
      </c>
      <c r="O33" s="21">
        <v>16651</v>
      </c>
      <c r="P33" s="21">
        <v>20104</v>
      </c>
      <c r="Q33" s="21">
        <v>96623</v>
      </c>
    </row>
    <row r="34" spans="1:17" x14ac:dyDescent="0.3">
      <c r="A34" s="26" t="s">
        <v>6</v>
      </c>
      <c r="B34" s="20">
        <v>207</v>
      </c>
      <c r="C34" s="21">
        <v>20872</v>
      </c>
      <c r="E34" t="str">
        <v>R04</v>
      </c>
      <c r="F34">
        <v>186</v>
      </c>
      <c r="G34" s="27">
        <v>16651</v>
      </c>
      <c r="H34" t="e">
        <f t="shared" si="0"/>
        <v>#N/A</v>
      </c>
      <c r="I34" t="e">
        <f t="shared" si="1"/>
        <v>#N/A</v>
      </c>
    </row>
    <row r="35" spans="1:17" x14ac:dyDescent="0.3">
      <c r="A35" s="26" t="s">
        <v>13</v>
      </c>
      <c r="B35" s="20">
        <v>186</v>
      </c>
      <c r="C35" s="21">
        <v>16651</v>
      </c>
      <c r="E35" t="str">
        <v>R05</v>
      </c>
      <c r="F35">
        <v>200</v>
      </c>
      <c r="G35" s="27">
        <v>20104</v>
      </c>
      <c r="H35" t="e">
        <f t="shared" si="0"/>
        <v>#N/A</v>
      </c>
      <c r="I35" t="e">
        <f t="shared" si="1"/>
        <v>#N/A</v>
      </c>
    </row>
    <row r="36" spans="1:17" x14ac:dyDescent="0.3">
      <c r="A36" s="26" t="s">
        <v>10</v>
      </c>
      <c r="B36" s="20">
        <v>200</v>
      </c>
      <c r="C36" s="21">
        <v>20104</v>
      </c>
    </row>
    <row r="37" spans="1:17" x14ac:dyDescent="0.3">
      <c r="A37" s="26" t="s">
        <v>1048</v>
      </c>
      <c r="B37" s="20">
        <v>1000</v>
      </c>
      <c r="C37" s="21">
        <v>96623</v>
      </c>
    </row>
    <row r="42" spans="1:17" x14ac:dyDescent="0.3">
      <c r="A42" s="23" t="s">
        <v>1047</v>
      </c>
    </row>
    <row r="43" spans="1:17" x14ac:dyDescent="0.3">
      <c r="A43" s="26"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F5" sqref="F5"/>
    </sheetView>
  </sheetViews>
  <sheetFormatPr defaultRowHeight="14.4" x14ac:dyDescent="0.3"/>
  <cols>
    <col min="5" max="5" width="10.8984375" customWidth="1"/>
    <col min="6" max="6" width="21.8984375" customWidth="1"/>
  </cols>
  <sheetData>
    <row r="2" spans="5:6" x14ac:dyDescent="0.3">
      <c r="E2" t="s">
        <v>1040</v>
      </c>
      <c r="F2" t="s">
        <v>1041</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44786-25B9-46E9-AD65-D8572262478A}">
  <dimension ref="F19:V39"/>
  <sheetViews>
    <sheetView topLeftCell="A3" zoomScale="66" workbookViewId="0">
      <selection activeCell="X28" sqref="X28"/>
    </sheetView>
  </sheetViews>
  <sheetFormatPr defaultRowHeight="14.4" x14ac:dyDescent="0.3"/>
  <cols>
    <col min="1" max="1" width="4.296875" style="24" customWidth="1"/>
    <col min="2" max="2" width="4.19921875" style="24" customWidth="1"/>
    <col min="3" max="16" width="8.796875" style="24"/>
    <col min="17" max="22" width="10.09765625" style="24" bestFit="1" customWidth="1"/>
    <col min="23" max="16384" width="8.796875" style="24"/>
  </cols>
  <sheetData>
    <row r="19" spans="6:22" x14ac:dyDescent="0.3">
      <c r="F19" s="25"/>
    </row>
    <row r="21" spans="6:22" x14ac:dyDescent="0.3">
      <c r="Q21" s="29" t="str" cm="1">
        <f t="array" ref="Q21:U21">Pivots!L14:P14</f>
        <v>R01</v>
      </c>
      <c r="R21" s="29" t="str">
        <v>R02</v>
      </c>
      <c r="S21" s="29" t="str">
        <v>R03</v>
      </c>
      <c r="T21" s="29" t="str">
        <v>R04</v>
      </c>
      <c r="U21" s="29" t="str">
        <v>R05</v>
      </c>
      <c r="V21" s="29" t="s">
        <v>1076</v>
      </c>
    </row>
    <row r="22" spans="6:22" x14ac:dyDescent="0.3">
      <c r="P22" s="24" t="str" cm="1">
        <f t="array" ref="P22:V39">IF(Pivots!K15:Q32="","",Pivots!K15:Q32)</f>
        <v>Cincinnati</v>
      </c>
      <c r="Q22" s="24" t="str">
        <v/>
      </c>
      <c r="R22" s="24" t="str">
        <v/>
      </c>
      <c r="S22" s="24" t="str">
        <v/>
      </c>
      <c r="T22" s="24" t="str">
        <v/>
      </c>
      <c r="U22" s="24" t="str">
        <v/>
      </c>
      <c r="V22" s="24" t="str">
        <v/>
      </c>
    </row>
    <row r="23" spans="6:22" x14ac:dyDescent="0.3">
      <c r="P23" s="24" t="str">
        <v>C0003</v>
      </c>
      <c r="Q23" s="30">
        <v>891</v>
      </c>
      <c r="R23" s="30">
        <v>1332</v>
      </c>
      <c r="S23" s="30">
        <v>1282</v>
      </c>
      <c r="T23" s="30">
        <v>739</v>
      </c>
      <c r="U23" s="30">
        <v>560</v>
      </c>
      <c r="V23" s="30">
        <v>4804</v>
      </c>
    </row>
    <row r="24" spans="6:22" x14ac:dyDescent="0.3">
      <c r="P24" s="24" t="str">
        <v>C0004</v>
      </c>
      <c r="Q24" s="30">
        <v>1991</v>
      </c>
      <c r="R24" s="30">
        <v>1886</v>
      </c>
      <c r="S24" s="30">
        <v>1206</v>
      </c>
      <c r="T24" s="30">
        <v>884</v>
      </c>
      <c r="U24" s="30">
        <v>1722</v>
      </c>
      <c r="V24" s="30">
        <v>7689</v>
      </c>
    </row>
    <row r="25" spans="6:22" x14ac:dyDescent="0.3">
      <c r="P25" s="24" t="str">
        <v>C0011</v>
      </c>
      <c r="Q25" s="30">
        <v>1163</v>
      </c>
      <c r="R25" s="30">
        <v>1180</v>
      </c>
      <c r="S25" s="30">
        <v>1616</v>
      </c>
      <c r="T25" s="30">
        <v>1043</v>
      </c>
      <c r="U25" s="30">
        <v>1747</v>
      </c>
      <c r="V25" s="30">
        <v>6749</v>
      </c>
    </row>
    <row r="26" spans="6:22" x14ac:dyDescent="0.3">
      <c r="P26" s="24" t="str">
        <v>C0012</v>
      </c>
      <c r="Q26" s="30">
        <v>1438</v>
      </c>
      <c r="R26" s="30">
        <v>1616</v>
      </c>
      <c r="S26" s="30">
        <v>866</v>
      </c>
      <c r="T26" s="30">
        <v>829</v>
      </c>
      <c r="U26" s="30">
        <v>2070</v>
      </c>
      <c r="V26" s="30">
        <v>6819</v>
      </c>
    </row>
    <row r="27" spans="6:22" x14ac:dyDescent="0.3">
      <c r="P27" s="24" t="str">
        <v>Cleveland</v>
      </c>
      <c r="Q27" s="30" t="str">
        <v/>
      </c>
      <c r="R27" s="30" t="str">
        <v/>
      </c>
      <c r="S27" s="30" t="str">
        <v/>
      </c>
      <c r="T27" s="30" t="str">
        <v/>
      </c>
      <c r="U27" s="30" t="str">
        <v/>
      </c>
      <c r="V27" s="30" t="str">
        <v/>
      </c>
    </row>
    <row r="28" spans="6:22" x14ac:dyDescent="0.3">
      <c r="P28" s="24" t="str">
        <v>C0002</v>
      </c>
      <c r="Q28" s="30">
        <v>1233</v>
      </c>
      <c r="R28" s="30">
        <v>223</v>
      </c>
      <c r="S28" s="30">
        <v>1680</v>
      </c>
      <c r="T28" s="30">
        <v>990</v>
      </c>
      <c r="U28" s="30">
        <v>1508</v>
      </c>
      <c r="V28" s="30">
        <v>5634</v>
      </c>
    </row>
    <row r="29" spans="6:22" x14ac:dyDescent="0.3">
      <c r="P29" s="24" t="str">
        <v>C0007</v>
      </c>
      <c r="Q29" s="30">
        <v>1598</v>
      </c>
      <c r="R29" s="30">
        <v>1907</v>
      </c>
      <c r="S29" s="30">
        <v>869</v>
      </c>
      <c r="T29" s="30">
        <v>1426</v>
      </c>
      <c r="U29" s="30">
        <v>1416</v>
      </c>
      <c r="V29" s="30">
        <v>7216</v>
      </c>
    </row>
    <row r="30" spans="6:22" x14ac:dyDescent="0.3">
      <c r="P30" s="24" t="str">
        <v>C0008</v>
      </c>
      <c r="Q30" s="30">
        <v>900</v>
      </c>
      <c r="R30" s="30">
        <v>1016</v>
      </c>
      <c r="S30" s="30">
        <v>960</v>
      </c>
      <c r="T30" s="30">
        <v>940</v>
      </c>
      <c r="U30" s="30">
        <v>1193</v>
      </c>
      <c r="V30" s="30">
        <v>5009</v>
      </c>
    </row>
    <row r="31" spans="6:22" x14ac:dyDescent="0.3">
      <c r="P31" s="24" t="str">
        <v>C0010</v>
      </c>
      <c r="Q31" s="30">
        <v>900</v>
      </c>
      <c r="R31" s="30">
        <v>1470</v>
      </c>
      <c r="S31" s="30">
        <v>1617</v>
      </c>
      <c r="T31" s="30">
        <v>1314</v>
      </c>
      <c r="U31" s="30">
        <v>941</v>
      </c>
      <c r="V31" s="30">
        <v>6242</v>
      </c>
    </row>
    <row r="32" spans="6:22" x14ac:dyDescent="0.3">
      <c r="P32" s="24" t="str">
        <v>C0013</v>
      </c>
      <c r="Q32" s="30">
        <v>1255</v>
      </c>
      <c r="R32" s="30">
        <v>516</v>
      </c>
      <c r="S32" s="30">
        <v>1874</v>
      </c>
      <c r="T32" s="30">
        <v>1863</v>
      </c>
      <c r="U32" s="30">
        <v>1722</v>
      </c>
      <c r="V32" s="30">
        <v>7230</v>
      </c>
    </row>
    <row r="33" spans="16:22" x14ac:dyDescent="0.3">
      <c r="P33" s="24" t="str">
        <v>C0015</v>
      </c>
      <c r="Q33" s="30">
        <v>1138</v>
      </c>
      <c r="R33" s="30">
        <v>1898</v>
      </c>
      <c r="S33" s="30">
        <v>1482</v>
      </c>
      <c r="T33" s="30">
        <v>846</v>
      </c>
      <c r="U33" s="30">
        <v>1154</v>
      </c>
      <c r="V33" s="30">
        <v>6518</v>
      </c>
    </row>
    <row r="34" spans="16:22" x14ac:dyDescent="0.3">
      <c r="P34" s="24" t="str">
        <v>Columbus</v>
      </c>
      <c r="Q34" s="30" t="str">
        <v/>
      </c>
      <c r="R34" s="30" t="str">
        <v/>
      </c>
      <c r="S34" s="30" t="str">
        <v/>
      </c>
      <c r="T34" s="30" t="str">
        <v/>
      </c>
      <c r="U34" s="30" t="str">
        <v/>
      </c>
      <c r="V34" s="30" t="str">
        <v/>
      </c>
    </row>
    <row r="35" spans="16:22" x14ac:dyDescent="0.3">
      <c r="P35" s="24" t="str">
        <v>C0001</v>
      </c>
      <c r="Q35" s="30">
        <v>1655</v>
      </c>
      <c r="R35" s="30">
        <v>805</v>
      </c>
      <c r="S35" s="30">
        <v>2263</v>
      </c>
      <c r="T35" s="30">
        <v>987</v>
      </c>
      <c r="U35" s="30">
        <v>1075</v>
      </c>
      <c r="V35" s="30">
        <v>6785</v>
      </c>
    </row>
    <row r="36" spans="16:22" x14ac:dyDescent="0.3">
      <c r="P36" s="24" t="str">
        <v>C0005</v>
      </c>
      <c r="Q36" s="30">
        <v>1104</v>
      </c>
      <c r="R36" s="30">
        <v>2280</v>
      </c>
      <c r="S36" s="30">
        <v>1445</v>
      </c>
      <c r="T36" s="30">
        <v>1722</v>
      </c>
      <c r="U36" s="30">
        <v>1196</v>
      </c>
      <c r="V36" s="30">
        <v>7747</v>
      </c>
    </row>
    <row r="37" spans="16:22" x14ac:dyDescent="0.3">
      <c r="P37" s="24" t="str">
        <v>C0006</v>
      </c>
      <c r="Q37" s="30">
        <v>372</v>
      </c>
      <c r="R37" s="30">
        <v>1818</v>
      </c>
      <c r="S37" s="30">
        <v>1346</v>
      </c>
      <c r="T37" s="30">
        <v>1156</v>
      </c>
      <c r="U37" s="30">
        <v>1484</v>
      </c>
      <c r="V37" s="30">
        <v>6176</v>
      </c>
    </row>
    <row r="38" spans="16:22" x14ac:dyDescent="0.3">
      <c r="P38" s="24" t="str">
        <v>C0009</v>
      </c>
      <c r="Q38" s="30">
        <v>1415</v>
      </c>
      <c r="R38" s="30">
        <v>1271</v>
      </c>
      <c r="S38" s="30">
        <v>1214</v>
      </c>
      <c r="T38" s="30">
        <v>1135</v>
      </c>
      <c r="U38" s="30">
        <v>1566</v>
      </c>
      <c r="V38" s="30">
        <v>6601</v>
      </c>
    </row>
    <row r="39" spans="16:22" x14ac:dyDescent="0.3">
      <c r="P39" s="24" t="str">
        <v>C0014</v>
      </c>
      <c r="Q39" s="30">
        <v>1362</v>
      </c>
      <c r="R39" s="30">
        <v>1363</v>
      </c>
      <c r="S39" s="30">
        <v>1152</v>
      </c>
      <c r="T39" s="30">
        <v>777</v>
      </c>
      <c r="U39" s="30">
        <v>750</v>
      </c>
      <c r="V39" s="30">
        <v>5404</v>
      </c>
    </row>
  </sheetData>
  <conditionalFormatting sqref="Q24">
    <cfRule type="dataBar" priority="4">
      <dataBar>
        <cfvo type="min"/>
        <cfvo type="max"/>
        <color rgb="FF638EC6"/>
      </dataBar>
      <extLst>
        <ext xmlns:x14="http://schemas.microsoft.com/office/spreadsheetml/2009/9/main" uri="{B025F937-C7B1-47D3-B67F-A62EFF666E3E}">
          <x14:id>{C7CB6445-A0C9-462F-95E3-F0EE0DD0E3A2}</x14:id>
        </ext>
      </extLst>
    </cfRule>
  </conditionalFormatting>
  <conditionalFormatting sqref="Q23:U39">
    <cfRule type="dataBar" priority="1">
      <dataBar>
        <cfvo type="min"/>
        <cfvo type="max"/>
        <color rgb="FF8A3CC4"/>
      </dataBar>
      <extLst>
        <ext xmlns:x14="http://schemas.microsoft.com/office/spreadsheetml/2009/9/main" uri="{B025F937-C7B1-47D3-B67F-A62EFF666E3E}">
          <x14:id>{48C61990-6724-4788-8E86-31B374BCBDDE}</x14:id>
        </ext>
      </extLst>
    </cfRule>
    <cfRule type="dataBar" priority="5">
      <dataBar>
        <cfvo type="min"/>
        <cfvo type="max"/>
        <color rgb="FF638EC6"/>
      </dataBar>
      <extLst>
        <ext xmlns:x14="http://schemas.microsoft.com/office/spreadsheetml/2009/9/main" uri="{B025F937-C7B1-47D3-B67F-A62EFF666E3E}">
          <x14:id>{3D11EDA8-EB79-4249-BFB2-FA4A325AE412}</x14:id>
        </ext>
      </extLst>
    </cfRule>
  </conditionalFormatting>
  <conditionalFormatting sqref="S24">
    <cfRule type="dataBar" priority="2">
      <dataBar>
        <cfvo type="min"/>
        <cfvo type="max"/>
        <color rgb="FF8A3CC4"/>
      </dataBar>
      <extLst>
        <ext xmlns:x14="http://schemas.microsoft.com/office/spreadsheetml/2009/9/main" uri="{B025F937-C7B1-47D3-B67F-A62EFF666E3E}">
          <x14:id>{4542B25D-BCBE-45C7-A825-1EC7E672F3B1}</x14:id>
        </ext>
      </extLst>
    </cfRule>
  </conditionalFormatting>
  <conditionalFormatting sqref="T22">
    <cfRule type="colorScale" priority="3">
      <colorScale>
        <cfvo type="min"/>
        <cfvo type="max"/>
        <color rgb="FFFF7128"/>
        <color rgb="FF8A3CC4"/>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C7CB6445-A0C9-462F-95E3-F0EE0DD0E3A2}">
            <x14:dataBar minLength="0" maxLength="100" gradient="0">
              <x14:cfvo type="autoMin"/>
              <x14:cfvo type="autoMax"/>
              <x14:negativeFillColor rgb="FFFF0000"/>
              <x14:axisColor rgb="FF000000"/>
            </x14:dataBar>
          </x14:cfRule>
          <xm:sqref>Q24</xm:sqref>
        </x14:conditionalFormatting>
        <x14:conditionalFormatting xmlns:xm="http://schemas.microsoft.com/office/excel/2006/main">
          <x14:cfRule type="dataBar" id="{48C61990-6724-4788-8E86-31B374BCBDDE}">
            <x14:dataBar minLength="0" maxLength="100" gradient="0">
              <x14:cfvo type="autoMin"/>
              <x14:cfvo type="autoMax"/>
              <x14:negativeFillColor rgb="FFFF0000"/>
              <x14:axisColor rgb="FF000000"/>
            </x14:dataBar>
          </x14:cfRule>
          <x14:cfRule type="dataBar" id="{3D11EDA8-EB79-4249-BFB2-FA4A325AE412}">
            <x14:dataBar minLength="0" maxLength="100" gradient="0">
              <x14:cfvo type="autoMin"/>
              <x14:cfvo type="autoMax"/>
              <x14:negativeFillColor rgb="FFFF0000"/>
              <x14:axisColor rgb="FF000000"/>
            </x14:dataBar>
          </x14:cfRule>
          <xm:sqref>Q23:U39</xm:sqref>
        </x14:conditionalFormatting>
        <x14:conditionalFormatting xmlns:xm="http://schemas.microsoft.com/office/excel/2006/main">
          <x14:cfRule type="dataBar" id="{4542B25D-BCBE-45C7-A825-1EC7E672F3B1}">
            <x14:dataBar minLength="0" maxLength="100" gradient="0">
              <x14:cfvo type="autoMin"/>
              <x14:cfvo type="autoMax"/>
              <x14:negativeFillColor rgb="FFFF0000"/>
              <x14:axisColor rgb="FF000000"/>
            </x14:dataBar>
          </x14:cfRule>
          <xm:sqref>S24</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Pivots</vt:lpstr>
      <vt:lpstr>Assets</vt:lpstr>
      <vt:lpstr>Call Center Report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vvarsha0504@outlook.com</cp:lastModifiedBy>
  <dcterms:created xsi:type="dcterms:W3CDTF">2021-03-14T20:21:32Z</dcterms:created>
  <dcterms:modified xsi:type="dcterms:W3CDTF">2026-02-15T04:58:33Z</dcterms:modified>
</cp:coreProperties>
</file>